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086834DD-1F46-F849-A71C-1C7CFA9B222D}" xr6:coauthVersionLast="47" xr6:coauthVersionMax="47" xr10:uidLastSave="{00000000-0000-0000-0000-000000000000}"/>
  <bookViews>
    <workbookView xWindow="740" yWindow="1220" windowWidth="28060" windowHeight="15080" activeTab="4" xr2:uid="{00000000-000D-0000-FFFF-FFFF00000000}"/>
  </bookViews>
  <sheets>
    <sheet name="Customers" sheetId="6" r:id="rId1"/>
    <sheet name="Health Club Tables" sheetId="7" r:id="rId2"/>
    <sheet name="Commuter Passes" sheetId="1" r:id="rId3"/>
    <sheet name="Pass Fares" sheetId="3" r:id="rId4"/>
    <sheet name="Employee Discount" sheetId="4" r:id="rId5"/>
  </sheets>
  <definedNames>
    <definedName name="_xlnm._FilterDatabase" localSheetId="2" hidden="1">'Commuter Passes'!$E$3:$E$19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  <c r="G2" i="6"/>
  <c r="I3" i="6"/>
  <c r="I4" i="6"/>
  <c r="I5" i="6"/>
  <c r="I6" i="6"/>
  <c r="I7" i="6"/>
  <c r="I8" i="6"/>
  <c r="I9" i="6"/>
  <c r="I10" i="6"/>
  <c r="I11" i="6"/>
  <c r="I2" i="6"/>
  <c r="K2" i="6"/>
  <c r="L2" i="6"/>
  <c r="J3" i="6"/>
  <c r="K3" i="6"/>
  <c r="L3" i="6"/>
  <c r="J4" i="6"/>
  <c r="K4" i="6"/>
  <c r="L4" i="6"/>
  <c r="J5" i="6"/>
  <c r="K5" i="6"/>
  <c r="L5" i="6"/>
  <c r="J6" i="6"/>
  <c r="K6" i="6"/>
  <c r="L6" i="6"/>
  <c r="J7" i="6"/>
  <c r="K7" i="6"/>
  <c r="L7" i="6"/>
  <c r="J8" i="6"/>
  <c r="K8" i="6"/>
  <c r="L8" i="6"/>
  <c r="J9" i="6"/>
  <c r="K9" i="6"/>
  <c r="L9" i="6"/>
  <c r="J10" i="6"/>
  <c r="K10" i="6"/>
  <c r="L10" i="6"/>
  <c r="J11" i="6"/>
  <c r="K11" i="6"/>
  <c r="L11" i="6"/>
  <c r="J2" i="6"/>
  <c r="G3" i="6"/>
  <c r="G4" i="6"/>
  <c r="G5" i="6"/>
  <c r="G6" i="6"/>
  <c r="G7" i="6"/>
  <c r="G8" i="6"/>
  <c r="G9" i="6"/>
  <c r="G10" i="6"/>
  <c r="G11" i="6"/>
  <c r="E2" i="6"/>
  <c r="E3" i="6"/>
  <c r="E4" i="6"/>
  <c r="F4" i="6" s="1"/>
  <c r="E5" i="6"/>
  <c r="E6" i="6"/>
  <c r="E7" i="6"/>
  <c r="E8" i="6"/>
  <c r="F8" i="6" s="1"/>
  <c r="E9" i="6"/>
  <c r="E10" i="6"/>
  <c r="E11" i="6"/>
  <c r="F3" i="6"/>
  <c r="H3" i="6" s="1"/>
  <c r="F5" i="6"/>
  <c r="F6" i="6"/>
  <c r="F7" i="6"/>
  <c r="F9" i="6"/>
  <c r="F10" i="6"/>
  <c r="F11" i="6"/>
  <c r="F2" i="6"/>
  <c r="H7" i="6" l="1"/>
  <c r="H11" i="6"/>
  <c r="H2" i="6"/>
  <c r="K12" i="6"/>
  <c r="L12" i="6"/>
  <c r="J12" i="6"/>
  <c r="H8" i="6"/>
  <c r="H4" i="6"/>
  <c r="H10" i="6"/>
  <c r="H6" i="6"/>
  <c r="H9" i="6"/>
  <c r="H5" i="6"/>
</calcChain>
</file>

<file path=xl/sharedStrings.xml><?xml version="1.0" encoding="utf-8"?>
<sst xmlns="http://schemas.openxmlformats.org/spreadsheetml/2006/main" count="62" uniqueCount="44">
  <si>
    <t>Total Due</t>
  </si>
  <si>
    <t>Tom Smythe</t>
  </si>
  <si>
    <t>Betty Jones</t>
  </si>
  <si>
    <t>Amy Kane</t>
  </si>
  <si>
    <t>Will Bently</t>
  </si>
  <si>
    <t>Jesse Liu</t>
  </si>
  <si>
    <t>Nancy Sims</t>
  </si>
  <si>
    <t>John Maynard</t>
  </si>
  <si>
    <t>Jeff Greenfield</t>
  </si>
  <si>
    <t>Luis Reyes</t>
  </si>
  <si>
    <t>Liza James</t>
  </si>
  <si>
    <t>Amanda Garth</t>
  </si>
  <si>
    <t>Liam Benson</t>
  </si>
  <si>
    <t>Zahra Salem</t>
  </si>
  <si>
    <t>Neil O'Hara</t>
  </si>
  <si>
    <t>John Reese</t>
  </si>
  <si>
    <t>James Black</t>
  </si>
  <si>
    <t>Zone</t>
  </si>
  <si>
    <t>MBTA passes</t>
  </si>
  <si>
    <t>Employee</t>
  </si>
  <si>
    <t>Discount</t>
  </si>
  <si>
    <t>Years employed</t>
  </si>
  <si>
    <t xml:space="preserve"> Price</t>
  </si>
  <si>
    <t>NA</t>
  </si>
  <si>
    <t>Customer #</t>
  </si>
  <si>
    <t>Plan code</t>
  </si>
  <si>
    <t>Start Date</t>
  </si>
  <si>
    <t>Payment Date</t>
  </si>
  <si>
    <t>P</t>
  </si>
  <si>
    <t>S</t>
  </si>
  <si>
    <t>G</t>
  </si>
  <si>
    <t>Fees</t>
  </si>
  <si>
    <t xml:space="preserve">Discount </t>
  </si>
  <si>
    <t>Days</t>
  </si>
  <si>
    <t>Plan</t>
  </si>
  <si>
    <t>Platinum</t>
  </si>
  <si>
    <t xml:space="preserve">Gold </t>
  </si>
  <si>
    <t>Silver</t>
  </si>
  <si>
    <t>Totals:</t>
  </si>
  <si>
    <t>Plan Name</t>
  </si>
  <si>
    <t>Gold</t>
  </si>
  <si>
    <t>Dipika Jothinathan</t>
  </si>
  <si>
    <t>Fare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</si>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</sst>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0;\-0;;@"/>
    <numFmt numFmtId="166" formatCode="&quot;$&quot;#,##0.00"/>
    <numFmt numFmtId="168" formatCode="m/d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5" tint="-0.499984740745262"/>
      <name val="Cambria"/>
      <family val="1"/>
      <scheme val="maj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2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0" fontId="3" fillId="0" borderId="0" xfId="0" applyFon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 vertical="center"/>
    </xf>
    <xf numFmtId="166" fontId="2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2" applyAlignment="1">
      <alignment horizontal="left"/>
    </xf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17"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family val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167" formatCode="[$-409]dddd\,\ mmmm\ d\,\ yyyy"/>
      <alignment horizontal="left" vertical="center" textRotation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166" formatCode="&quot;$&quot;#,##0.00"/>
      <alignment horizontal="left" vertical="center" textRotation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0ADBA3-BD02-5A46-9D5C-413F8DC0A0B4}" name="PlansTable" displayName="PlansTable" ref="A1:C5" totalsRowShown="0" headerRowDxfId="16" dataDxfId="15">
  <autoFilter ref="A1:C5" xr:uid="{2E0ADBA3-BD02-5A46-9D5C-413F8DC0A0B4}"/>
  <tableColumns count="3">
    <tableColumn id="1" xr3:uid="{409CB002-4D2D-6142-BC94-AB92A8C14FA7}" name="Plan code" dataDxfId="14"/>
    <tableColumn id="2" xr3:uid="{89971FED-4465-1047-8609-29F81F612077}" name="Fees" dataDxfId="13"/>
    <tableColumn id="4" xr3:uid="{0B84532E-759E-0B47-A7D4-6B0CFE7162D8}" name="Plan Nam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8AAECE-44A4-C74E-823B-983853FBA6E4}" name="DiscountTable" displayName="DiscountTable" ref="A8:B12" totalsRowShown="0" headerRowDxfId="11" dataDxfId="10">
  <autoFilter ref="A8:B12" xr:uid="{C28AAECE-44A4-C74E-823B-983853FBA6E4}"/>
  <tableColumns count="2">
    <tableColumn id="1" xr3:uid="{C3C9A2DE-6FBA-C948-9077-173AE1617D1B}" name="Days" dataDxfId="9"/>
    <tableColumn id="2" xr3:uid="{8902A959-994A-1F4F-969C-775AA949BC49}" name="Discount 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FDE63-D9F6-364B-B0C2-45BA8274D4C7}" name="PassFares" displayName="PassFares" ref="A1:B11" totalsRowShown="0" headerRowDxfId="7" dataDxfId="6">
  <autoFilter ref="A1:B11" xr:uid="{346FDE63-D9F6-364B-B0C2-45BA8274D4C7}"/>
  <tableColumns count="2">
    <tableColumn id="1" xr3:uid="{6C07926E-218C-4042-8C30-253CFF330B1C}" name="Zone" dataDxfId="5"/>
    <tableColumn id="2" xr3:uid="{433C9866-3700-B14F-88E3-3CA1A818D162}" name="Far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2EE6E-6761-F84C-B181-1364894B491A}" name="DiscountRates" displayName="DiscountRates" ref="A1:B7" totalsRowShown="0" headerRowDxfId="3" dataDxfId="2">
  <autoFilter ref="A1:B7" xr:uid="{7672EE6E-6761-F84C-B181-1364894B491A}"/>
  <tableColumns count="2">
    <tableColumn id="1" xr3:uid="{0D87BAE4-E683-E249-BB49-BC827329EAC8}" name="Years" dataDxfId="1"/>
    <tableColumn id="2" xr3:uid="{098155A8-6B24-D444-B601-C9A632F0AE29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144" zoomScaleNormal="144" workbookViewId="0">
      <selection activeCell="G16" sqref="G16"/>
    </sheetView>
  </sheetViews>
  <sheetFormatPr baseColWidth="10" defaultColWidth="8.83203125" defaultRowHeight="15" x14ac:dyDescent="0.2"/>
  <cols>
    <col min="1" max="1" width="9.5" customWidth="1"/>
    <col min="2" max="2" width="8.1640625" style="1" customWidth="1"/>
    <col min="3" max="3" width="8.33203125" customWidth="1"/>
    <col min="4" max="4" width="11.5" customWidth="1"/>
    <col min="5" max="5" width="7.6640625" hidden="1" customWidth="1"/>
    <col min="6" max="6" width="7.33203125" customWidth="1"/>
    <col min="7" max="7" width="6.33203125" customWidth="1"/>
    <col min="8" max="8" width="8.33203125" customWidth="1"/>
    <col min="9" max="9" width="7.5" customWidth="1"/>
    <col min="10" max="10" width="7.33203125" customWidth="1"/>
    <col min="11" max="11" width="4.83203125" customWidth="1"/>
    <col min="12" max="12" width="5.33203125" customWidth="1"/>
  </cols>
  <sheetData>
    <row r="1" spans="1:12" x14ac:dyDescent="0.2">
      <c r="A1" s="16" t="s">
        <v>24</v>
      </c>
      <c r="B1" s="16" t="s">
        <v>25</v>
      </c>
      <c r="C1" s="16" t="s">
        <v>26</v>
      </c>
      <c r="D1" s="16" t="s">
        <v>27</v>
      </c>
      <c r="E1" s="16" t="s">
        <v>33</v>
      </c>
      <c r="F1" s="16" t="s">
        <v>20</v>
      </c>
      <c r="G1" s="16" t="s">
        <v>31</v>
      </c>
      <c r="H1" s="16" t="s">
        <v>0</v>
      </c>
      <c r="I1" s="16" t="s">
        <v>34</v>
      </c>
      <c r="J1" s="16" t="s">
        <v>35</v>
      </c>
      <c r="K1" s="16" t="s">
        <v>36</v>
      </c>
      <c r="L1" s="16" t="s">
        <v>37</v>
      </c>
    </row>
    <row r="2" spans="1:12" x14ac:dyDescent="0.2">
      <c r="A2" s="1">
        <v>1</v>
      </c>
      <c r="B2" s="1" t="s">
        <v>28</v>
      </c>
      <c r="C2" s="24">
        <v>41456</v>
      </c>
      <c r="D2" s="24">
        <v>41427</v>
      </c>
      <c r="E2" s="13">
        <f>_xlfn.DAYS(C2,D2)</f>
        <v>29</v>
      </c>
      <c r="F2" s="14">
        <f>VLOOKUP(E2,DiscountTable[],2)</f>
        <v>0.1</v>
      </c>
      <c r="G2" s="21">
        <f>IFERROR(VLOOKUP(B2,PlansTable[], 2, FALSE),20)</f>
        <v>99</v>
      </c>
      <c r="H2" s="21">
        <f>G2*(1-F2)</f>
        <v>89.100000000000009</v>
      </c>
      <c r="I2" s="1" t="str">
        <f>IFERROR(VLOOKUP(B2,PlansTable[],3,FALSE)," ")</f>
        <v>Platinum</v>
      </c>
      <c r="J2" s="17">
        <f>IF(B2="P",1,0)</f>
        <v>1</v>
      </c>
      <c r="K2" s="17">
        <f>IF(B2="G",1,0)</f>
        <v>0</v>
      </c>
      <c r="L2" s="17">
        <f>IF(B2="S",1,0)</f>
        <v>0</v>
      </c>
    </row>
    <row r="3" spans="1:12" x14ac:dyDescent="0.2">
      <c r="A3" s="1">
        <v>2</v>
      </c>
      <c r="B3" s="1" t="s">
        <v>28</v>
      </c>
      <c r="C3" s="24">
        <v>41456</v>
      </c>
      <c r="D3" s="24">
        <v>41455</v>
      </c>
      <c r="E3" s="13">
        <f t="shared" ref="E3:E11" si="0">_xlfn.DAYS(C3,D3)</f>
        <v>1</v>
      </c>
      <c r="F3" s="14">
        <f>VLOOKUP(E3,DiscountTable[],2)</f>
        <v>0</v>
      </c>
      <c r="G3" s="21">
        <f>IFERROR(VLOOKUP(B3,PlansTable[], 2, FALSE),20)</f>
        <v>99</v>
      </c>
      <c r="H3" s="21">
        <f t="shared" ref="H3:H11" si="1">G3*(1-F3)</f>
        <v>99</v>
      </c>
      <c r="I3" s="1" t="str">
        <f>IFERROR(VLOOKUP(B3,PlansTable[],3,FALSE)," ")</f>
        <v>Platinum</v>
      </c>
      <c r="J3" s="17">
        <f t="shared" ref="J3:J11" si="2">IF(B3="P",1,0)</f>
        <v>1</v>
      </c>
      <c r="K3" s="17">
        <f t="shared" ref="K3:K11" si="3">IF(B3="G",1,0)</f>
        <v>0</v>
      </c>
      <c r="L3" s="17">
        <f t="shared" ref="L3:L11" si="4">IF(B3="S",1,0)</f>
        <v>0</v>
      </c>
    </row>
    <row r="4" spans="1:12" x14ac:dyDescent="0.2">
      <c r="A4" s="1">
        <v>3</v>
      </c>
      <c r="B4" s="1" t="s">
        <v>29</v>
      </c>
      <c r="C4" s="24">
        <v>41456</v>
      </c>
      <c r="D4" s="24">
        <v>41398</v>
      </c>
      <c r="E4" s="13">
        <f t="shared" si="0"/>
        <v>58</v>
      </c>
      <c r="F4" s="14">
        <f>VLOOKUP(E4,DiscountTable[],2)</f>
        <v>0.15</v>
      </c>
      <c r="G4" s="21">
        <f>IFERROR(VLOOKUP(B4,PlansTable[], 2, FALSE),20)</f>
        <v>50</v>
      </c>
      <c r="H4" s="21">
        <f t="shared" si="1"/>
        <v>42.5</v>
      </c>
      <c r="I4" s="1" t="str">
        <f>IFERROR(VLOOKUP(B4,PlansTable[],3,FALSE)," ")</f>
        <v>Silver</v>
      </c>
      <c r="J4" s="17">
        <f t="shared" si="2"/>
        <v>0</v>
      </c>
      <c r="K4" s="17">
        <f t="shared" si="3"/>
        <v>0</v>
      </c>
      <c r="L4" s="17">
        <f t="shared" si="4"/>
        <v>1</v>
      </c>
    </row>
    <row r="5" spans="1:12" x14ac:dyDescent="0.2">
      <c r="A5" s="1">
        <v>4</v>
      </c>
      <c r="B5" s="1" t="s">
        <v>29</v>
      </c>
      <c r="C5" s="24">
        <v>41456</v>
      </c>
      <c r="D5" s="24">
        <v>41430</v>
      </c>
      <c r="E5" s="13">
        <f t="shared" si="0"/>
        <v>26</v>
      </c>
      <c r="F5" s="14">
        <f>VLOOKUP(E5,DiscountTable[],2)</f>
        <v>0.1</v>
      </c>
      <c r="G5" s="21">
        <f>IFERROR(VLOOKUP(B5,PlansTable[], 2, FALSE),20)</f>
        <v>50</v>
      </c>
      <c r="H5" s="21">
        <f t="shared" si="1"/>
        <v>45</v>
      </c>
      <c r="I5" s="1" t="str">
        <f>IFERROR(VLOOKUP(B5,PlansTable[],3,FALSE)," ")</f>
        <v>Silver</v>
      </c>
      <c r="J5" s="17">
        <f t="shared" si="2"/>
        <v>0</v>
      </c>
      <c r="K5" s="17">
        <f t="shared" si="3"/>
        <v>0</v>
      </c>
      <c r="L5" s="17">
        <f t="shared" si="4"/>
        <v>1</v>
      </c>
    </row>
    <row r="6" spans="1:12" x14ac:dyDescent="0.2">
      <c r="A6" s="1">
        <v>5</v>
      </c>
      <c r="B6" s="1" t="s">
        <v>30</v>
      </c>
      <c r="C6" s="24">
        <v>41456</v>
      </c>
      <c r="D6" s="24">
        <v>41410</v>
      </c>
      <c r="E6" s="13">
        <f t="shared" si="0"/>
        <v>46</v>
      </c>
      <c r="F6" s="14">
        <f>VLOOKUP(E6,DiscountTable[],2)</f>
        <v>0.15</v>
      </c>
      <c r="G6" s="21">
        <f>IFERROR(VLOOKUP(B6,PlansTable[], 2, FALSE),20)</f>
        <v>75</v>
      </c>
      <c r="H6" s="21">
        <f t="shared" si="1"/>
        <v>63.75</v>
      </c>
      <c r="I6" s="1" t="str">
        <f>IFERROR(VLOOKUP(B6,PlansTable[],3,FALSE)," ")</f>
        <v>Gold</v>
      </c>
      <c r="J6" s="17">
        <f t="shared" si="2"/>
        <v>0</v>
      </c>
      <c r="K6" s="17">
        <f t="shared" si="3"/>
        <v>1</v>
      </c>
      <c r="L6" s="17">
        <f t="shared" si="4"/>
        <v>0</v>
      </c>
    </row>
    <row r="7" spans="1:12" x14ac:dyDescent="0.2">
      <c r="A7" s="1">
        <v>6</v>
      </c>
      <c r="B7" s="1" t="s">
        <v>29</v>
      </c>
      <c r="C7" s="24">
        <v>41456</v>
      </c>
      <c r="D7" s="24">
        <v>41371</v>
      </c>
      <c r="E7" s="13">
        <f t="shared" si="0"/>
        <v>85</v>
      </c>
      <c r="F7" s="14">
        <f>VLOOKUP(E7,DiscountTable[],2)</f>
        <v>0.15</v>
      </c>
      <c r="G7" s="21">
        <f>IFERROR(VLOOKUP(B7,PlansTable[], 2, FALSE),20)</f>
        <v>50</v>
      </c>
      <c r="H7" s="21">
        <f t="shared" si="1"/>
        <v>42.5</v>
      </c>
      <c r="I7" s="1" t="str">
        <f>IFERROR(VLOOKUP(B7,PlansTable[],3,FALSE)," ")</f>
        <v>Silver</v>
      </c>
      <c r="J7" s="17">
        <f t="shared" si="2"/>
        <v>0</v>
      </c>
      <c r="K7" s="17">
        <f t="shared" si="3"/>
        <v>0</v>
      </c>
      <c r="L7" s="17">
        <f t="shared" si="4"/>
        <v>1</v>
      </c>
    </row>
    <row r="8" spans="1:12" x14ac:dyDescent="0.2">
      <c r="A8" s="1">
        <v>7</v>
      </c>
      <c r="C8" s="24">
        <v>41456</v>
      </c>
      <c r="D8" s="24">
        <v>41433</v>
      </c>
      <c r="E8" s="13">
        <f t="shared" si="0"/>
        <v>23</v>
      </c>
      <c r="F8" s="14">
        <f>VLOOKUP(E8,DiscountTable[],2)</f>
        <v>0.1</v>
      </c>
      <c r="G8" s="21">
        <f>IFERROR(VLOOKUP(B8,PlansTable[], 2, FALSE),20)</f>
        <v>20</v>
      </c>
      <c r="H8" s="21">
        <f t="shared" si="1"/>
        <v>18</v>
      </c>
      <c r="I8" s="1" t="str">
        <f>IFERROR(VLOOKUP(B8,PlansTable[],3,FALSE)," ")</f>
        <v xml:space="preserve"> </v>
      </c>
      <c r="J8" s="17">
        <f t="shared" si="2"/>
        <v>0</v>
      </c>
      <c r="K8" s="17">
        <f t="shared" si="3"/>
        <v>0</v>
      </c>
      <c r="L8" s="17">
        <f t="shared" si="4"/>
        <v>0</v>
      </c>
    </row>
    <row r="9" spans="1:12" x14ac:dyDescent="0.2">
      <c r="A9" s="1">
        <v>8</v>
      </c>
      <c r="B9" s="1" t="s">
        <v>30</v>
      </c>
      <c r="C9" s="24">
        <v>41456</v>
      </c>
      <c r="D9" s="24">
        <v>41456</v>
      </c>
      <c r="E9" s="13">
        <f t="shared" si="0"/>
        <v>0</v>
      </c>
      <c r="F9" s="14">
        <f>VLOOKUP(E9,DiscountTable[],2)</f>
        <v>0</v>
      </c>
      <c r="G9" s="21">
        <f>IFERROR(VLOOKUP(B9,PlansTable[], 2, FALSE),20)</f>
        <v>75</v>
      </c>
      <c r="H9" s="21">
        <f t="shared" si="1"/>
        <v>75</v>
      </c>
      <c r="I9" s="1" t="str">
        <f>IFERROR(VLOOKUP(B9,PlansTable[],3,FALSE)," ")</f>
        <v>Gold</v>
      </c>
      <c r="J9" s="17">
        <f t="shared" si="2"/>
        <v>0</v>
      </c>
      <c r="K9" s="17">
        <f t="shared" si="3"/>
        <v>1</v>
      </c>
      <c r="L9" s="17">
        <f t="shared" si="4"/>
        <v>0</v>
      </c>
    </row>
    <row r="10" spans="1:12" x14ac:dyDescent="0.2">
      <c r="A10" s="1">
        <v>9</v>
      </c>
      <c r="B10" s="1" t="s">
        <v>28</v>
      </c>
      <c r="C10" s="24">
        <v>41456</v>
      </c>
      <c r="D10" s="24">
        <v>41435</v>
      </c>
      <c r="E10" s="13">
        <f t="shared" si="0"/>
        <v>21</v>
      </c>
      <c r="F10" s="14">
        <f>VLOOKUP(E10,DiscountTable[],2)</f>
        <v>0.1</v>
      </c>
      <c r="G10" s="21">
        <f>IFERROR(VLOOKUP(B10,PlansTable[], 2, FALSE),20)</f>
        <v>99</v>
      </c>
      <c r="H10" s="21">
        <f t="shared" si="1"/>
        <v>89.100000000000009</v>
      </c>
      <c r="I10" s="1" t="str">
        <f>IFERROR(VLOOKUP(B10,PlansTable[],3,FALSE)," ")</f>
        <v>Platinum</v>
      </c>
      <c r="J10" s="17">
        <f t="shared" si="2"/>
        <v>1</v>
      </c>
      <c r="K10" s="17">
        <f t="shared" si="3"/>
        <v>0</v>
      </c>
      <c r="L10" s="17">
        <f t="shared" si="4"/>
        <v>0</v>
      </c>
    </row>
    <row r="11" spans="1:12" x14ac:dyDescent="0.2">
      <c r="A11" s="1">
        <v>10</v>
      </c>
      <c r="B11" s="1" t="s">
        <v>29</v>
      </c>
      <c r="C11" s="24">
        <v>41456</v>
      </c>
      <c r="D11" s="24">
        <v>41405</v>
      </c>
      <c r="E11" s="13">
        <f t="shared" si="0"/>
        <v>51</v>
      </c>
      <c r="F11" s="14">
        <f>VLOOKUP(E11,DiscountTable[],2)</f>
        <v>0.15</v>
      </c>
      <c r="G11" s="21">
        <f>IFERROR(VLOOKUP(B11,PlansTable[], 2, FALSE),20)</f>
        <v>50</v>
      </c>
      <c r="H11" s="21">
        <f t="shared" si="1"/>
        <v>42.5</v>
      </c>
      <c r="I11" s="1" t="str">
        <f>IFERROR(VLOOKUP(B11,PlansTable[],3,FALSE)," ")</f>
        <v>Silver</v>
      </c>
      <c r="J11" s="17">
        <f t="shared" si="2"/>
        <v>0</v>
      </c>
      <c r="K11" s="17">
        <f t="shared" si="3"/>
        <v>0</v>
      </c>
      <c r="L11" s="17">
        <f t="shared" si="4"/>
        <v>1</v>
      </c>
    </row>
    <row r="12" spans="1:12" x14ac:dyDescent="0.2">
      <c r="A12" s="1"/>
      <c r="C12" s="1"/>
      <c r="D12" s="1"/>
      <c r="E12" s="1"/>
      <c r="F12" s="1"/>
      <c r="G12" s="1"/>
      <c r="H12" s="1"/>
      <c r="I12" s="15" t="s">
        <v>38</v>
      </c>
      <c r="J12" s="1">
        <f>SUM(J2:J11)</f>
        <v>3</v>
      </c>
      <c r="K12" s="1">
        <f t="shared" ref="K12:L12" si="5">SUM(K2:K11)</f>
        <v>2</v>
      </c>
      <c r="L12" s="1">
        <f t="shared" si="5"/>
        <v>4</v>
      </c>
    </row>
    <row r="13" spans="1:12" x14ac:dyDescent="0.2">
      <c r="B13"/>
    </row>
    <row r="16" spans="1:12" x14ac:dyDescent="0.2">
      <c r="A16" s="1"/>
      <c r="C16" s="5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3"/>
      <c r="C17" s="5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3"/>
      <c r="C18" s="5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4"/>
      <c r="C19" s="5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4"/>
      <c r="C20" s="5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4"/>
      <c r="C21" s="5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4"/>
      <c r="C22" s="5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4"/>
      <c r="C23" s="5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4"/>
      <c r="C24" s="5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C25" s="5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45" zoomScaleNormal="145" workbookViewId="0">
      <selection activeCell="G13" sqref="G13"/>
    </sheetView>
  </sheetViews>
  <sheetFormatPr baseColWidth="10" defaultColWidth="8.83203125" defaultRowHeight="15" x14ac:dyDescent="0.2"/>
  <cols>
    <col min="1" max="1" width="11" style="8" customWidth="1"/>
    <col min="2" max="2" width="13.6640625" style="8" customWidth="1"/>
    <col min="3" max="16384" width="8.83203125" style="8"/>
  </cols>
  <sheetData>
    <row r="1" spans="1:3" x14ac:dyDescent="0.2">
      <c r="A1" s="8" t="s">
        <v>25</v>
      </c>
      <c r="B1" s="8" t="s">
        <v>31</v>
      </c>
      <c r="C1" s="8" t="s">
        <v>39</v>
      </c>
    </row>
    <row r="2" spans="1:3" x14ac:dyDescent="0.2">
      <c r="A2" s="8" t="s">
        <v>28</v>
      </c>
      <c r="B2" s="22">
        <v>99</v>
      </c>
      <c r="C2" s="8" t="s">
        <v>35</v>
      </c>
    </row>
    <row r="3" spans="1:3" x14ac:dyDescent="0.2">
      <c r="A3" s="8" t="s">
        <v>30</v>
      </c>
      <c r="B3" s="22">
        <v>75</v>
      </c>
      <c r="C3" s="8" t="s">
        <v>40</v>
      </c>
    </row>
    <row r="4" spans="1:3" x14ac:dyDescent="0.2">
      <c r="A4" s="8" t="s">
        <v>29</v>
      </c>
      <c r="B4" s="22">
        <v>50</v>
      </c>
      <c r="C4" s="8" t="s">
        <v>37</v>
      </c>
    </row>
    <row r="5" spans="1:3" x14ac:dyDescent="0.2">
      <c r="B5" s="22">
        <v>20</v>
      </c>
    </row>
    <row r="6" spans="1:3" x14ac:dyDescent="0.2">
      <c r="A6" s="9"/>
    </row>
    <row r="7" spans="1:3" x14ac:dyDescent="0.2">
      <c r="A7" s="9"/>
    </row>
    <row r="8" spans="1:3" ht="16" x14ac:dyDescent="0.2">
      <c r="A8" s="12" t="s">
        <v>33</v>
      </c>
      <c r="B8" s="12" t="s">
        <v>32</v>
      </c>
    </row>
    <row r="9" spans="1:3" ht="16" x14ac:dyDescent="0.2">
      <c r="A9" s="10">
        <v>0</v>
      </c>
      <c r="B9" s="11">
        <v>0</v>
      </c>
    </row>
    <row r="10" spans="1:3" ht="16" x14ac:dyDescent="0.2">
      <c r="A10" s="10">
        <v>7</v>
      </c>
      <c r="B10" s="11">
        <v>0.05</v>
      </c>
    </row>
    <row r="11" spans="1:3" ht="16" x14ac:dyDescent="0.2">
      <c r="A11" s="10">
        <v>14</v>
      </c>
      <c r="B11" s="11">
        <v>0.1</v>
      </c>
    </row>
    <row r="12" spans="1:3" ht="16" x14ac:dyDescent="0.2">
      <c r="A12" s="10">
        <v>30</v>
      </c>
      <c r="B12" s="11">
        <v>0.15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="134" zoomScaleNormal="134" workbookViewId="0">
      <selection activeCell="I10" sqref="I10"/>
    </sheetView>
  </sheetViews>
  <sheetFormatPr baseColWidth="10" defaultColWidth="8.83203125" defaultRowHeight="15" x14ac:dyDescent="0.2"/>
  <cols>
    <col min="1" max="1" width="14.5" style="1" customWidth="1"/>
    <col min="2" max="2" width="5.1640625" style="1" customWidth="1"/>
    <col min="3" max="3" width="8.1640625" style="1" customWidth="1"/>
    <col min="4" max="4" width="8.83203125" customWidth="1"/>
    <col min="5" max="5" width="8.33203125" customWidth="1"/>
    <col min="6" max="6" width="9.6640625" customWidth="1"/>
  </cols>
  <sheetData>
    <row r="1" spans="1:6" ht="23" x14ac:dyDescent="0.25">
      <c r="A1" s="19" t="s">
        <v>18</v>
      </c>
      <c r="D1" s="1"/>
      <c r="E1" s="1"/>
      <c r="F1" s="1"/>
    </row>
    <row r="2" spans="1:6" ht="33" customHeight="1" x14ac:dyDescent="0.2">
      <c r="A2" s="18" t="s">
        <v>19</v>
      </c>
      <c r="B2" s="18" t="s">
        <v>17</v>
      </c>
      <c r="C2" s="18" t="s">
        <v>21</v>
      </c>
      <c r="D2" s="18" t="s">
        <v>22</v>
      </c>
      <c r="E2" s="18" t="s">
        <v>20</v>
      </c>
      <c r="F2" s="18" t="s">
        <v>0</v>
      </c>
    </row>
    <row r="3" spans="1:6" x14ac:dyDescent="0.2">
      <c r="A3" s="25" t="s">
        <v>1</v>
      </c>
      <c r="B3" s="1">
        <v>2</v>
      </c>
      <c r="C3" s="1">
        <v>3</v>
      </c>
      <c r="D3" s="7">
        <f>VLOOKUP(B3,PassFares[], 2, FALSE)</f>
        <v>189</v>
      </c>
      <c r="E3" s="20">
        <f>IF(IFERROR(VLOOKUP(C3,DiscountRates[],2),0)=0,"-",D3*IFERROR(VLOOKUP(C3,DiscountRates[],2),0))</f>
        <v>18.900000000000002</v>
      </c>
      <c r="F3" s="7">
        <f>IF(E3="-",D3,D3-E3)</f>
        <v>170.1</v>
      </c>
    </row>
    <row r="4" spans="1:6" x14ac:dyDescent="0.2">
      <c r="A4" s="25" t="s">
        <v>2</v>
      </c>
      <c r="B4" s="1">
        <v>4</v>
      </c>
      <c r="C4" s="1">
        <v>7</v>
      </c>
      <c r="D4" s="7">
        <f>VLOOKUP(B4,PassFares[], 2, FALSE)</f>
        <v>228</v>
      </c>
      <c r="E4" s="20">
        <f>IF(IFERROR(VLOOKUP(C4,DiscountRates[],2),0)=0,"-",D4*IFERROR(VLOOKUP(C4,DiscountRates[],2),0))</f>
        <v>41.04</v>
      </c>
      <c r="F4" s="7">
        <f t="shared" ref="F4:F19" si="0">IF(E4="-",D4,D4-E4)</f>
        <v>186.96</v>
      </c>
    </row>
    <row r="5" spans="1:6" x14ac:dyDescent="0.2">
      <c r="A5" s="25" t="s">
        <v>3</v>
      </c>
      <c r="B5" s="1">
        <v>1</v>
      </c>
      <c r="C5" s="1">
        <v>13</v>
      </c>
      <c r="D5" s="7">
        <f>VLOOKUP(B5,PassFares[], 2, FALSE)</f>
        <v>173</v>
      </c>
      <c r="E5" s="20">
        <f>IF(IFERROR(VLOOKUP(C5,DiscountRates[],2),0)=0,"-",D5*IFERROR(VLOOKUP(C5,DiscountRates[],2),0))</f>
        <v>38.06</v>
      </c>
      <c r="F5" s="7">
        <f t="shared" si="0"/>
        <v>134.94</v>
      </c>
    </row>
    <row r="6" spans="1:6" x14ac:dyDescent="0.2">
      <c r="A6" s="25" t="s">
        <v>4</v>
      </c>
      <c r="B6" s="1">
        <v>7</v>
      </c>
      <c r="C6" s="1">
        <v>1</v>
      </c>
      <c r="D6" s="7">
        <f>VLOOKUP(B6,PassFares[], 2, FALSE)</f>
        <v>291</v>
      </c>
      <c r="E6" s="20">
        <f>IF(IFERROR(VLOOKUP(C6,DiscountRates[],2),0)=0,"-",D6*IFERROR(VLOOKUP(C6,DiscountRates[],2),0))</f>
        <v>14.55</v>
      </c>
      <c r="F6" s="7">
        <f t="shared" si="0"/>
        <v>276.45</v>
      </c>
    </row>
    <row r="7" spans="1:6" x14ac:dyDescent="0.2">
      <c r="A7" s="25" t="s">
        <v>5</v>
      </c>
      <c r="B7" s="1">
        <v>3</v>
      </c>
      <c r="C7" s="1">
        <v>6</v>
      </c>
      <c r="D7" s="7">
        <f>VLOOKUP(B7,PassFares[], 2, FALSE)</f>
        <v>212</v>
      </c>
      <c r="E7" s="20">
        <f>IF(IFERROR(VLOOKUP(C7,DiscountRates[],2),0)=0,"-",D7*IFERROR(VLOOKUP(C7,DiscountRates[],2),0))</f>
        <v>38.159999999999997</v>
      </c>
      <c r="F7" s="7">
        <f t="shared" si="0"/>
        <v>173.84</v>
      </c>
    </row>
    <row r="8" spans="1:6" x14ac:dyDescent="0.2">
      <c r="A8" s="25" t="s">
        <v>6</v>
      </c>
      <c r="B8" s="1">
        <v>4</v>
      </c>
      <c r="C8" s="1">
        <v>2</v>
      </c>
      <c r="D8" s="7">
        <f>VLOOKUP(B8,PassFares[], 2, FALSE)</f>
        <v>228</v>
      </c>
      <c r="E8" s="20">
        <f>IF(IFERROR(VLOOKUP(C8,DiscountRates[],2),0)=0,"-",D8*IFERROR(VLOOKUP(C8,DiscountRates[],2),0))</f>
        <v>11.4</v>
      </c>
      <c r="F8" s="7">
        <f t="shared" si="0"/>
        <v>216.6</v>
      </c>
    </row>
    <row r="9" spans="1:6" x14ac:dyDescent="0.2">
      <c r="A9" s="25" t="s">
        <v>7</v>
      </c>
      <c r="B9" s="1">
        <v>3</v>
      </c>
      <c r="C9" s="1">
        <v>12</v>
      </c>
      <c r="D9" s="7">
        <f>VLOOKUP(B9,PassFares[], 2, FALSE)</f>
        <v>212</v>
      </c>
      <c r="E9" s="20">
        <f>IF(IFERROR(VLOOKUP(C9,DiscountRates[],2),0)=0,"-",D9*IFERROR(VLOOKUP(C9,DiscountRates[],2),0))</f>
        <v>46.64</v>
      </c>
      <c r="F9" s="7">
        <f t="shared" si="0"/>
        <v>165.36</v>
      </c>
    </row>
    <row r="10" spans="1:6" x14ac:dyDescent="0.2">
      <c r="A10" s="25" t="s">
        <v>8</v>
      </c>
      <c r="B10" s="1">
        <v>6</v>
      </c>
      <c r="C10" s="1">
        <v>9</v>
      </c>
      <c r="D10" s="7">
        <f>VLOOKUP(B10,PassFares[], 2, FALSE)</f>
        <v>275</v>
      </c>
      <c r="E10" s="20">
        <f>IF(IFERROR(VLOOKUP(C10,DiscountRates[],2),0)=0,"-",D10*IFERROR(VLOOKUP(C10,DiscountRates[],2),0))</f>
        <v>49.5</v>
      </c>
      <c r="F10" s="7">
        <f t="shared" si="0"/>
        <v>225.5</v>
      </c>
    </row>
    <row r="11" spans="1:6" x14ac:dyDescent="0.2">
      <c r="A11" s="25" t="s">
        <v>9</v>
      </c>
      <c r="B11" s="1">
        <v>7</v>
      </c>
      <c r="C11" s="1">
        <v>10</v>
      </c>
      <c r="D11" s="7">
        <f>VLOOKUP(B11,PassFares[], 2, FALSE)</f>
        <v>291</v>
      </c>
      <c r="E11" s="20">
        <f>IF(IFERROR(VLOOKUP(C11,DiscountRates[],2),0)=0,"-",D11*IFERROR(VLOOKUP(C11,DiscountRates[],2),0))</f>
        <v>64.02</v>
      </c>
      <c r="F11" s="7">
        <f t="shared" si="0"/>
        <v>226.98000000000002</v>
      </c>
    </row>
    <row r="12" spans="1:6" x14ac:dyDescent="0.2">
      <c r="A12" s="25" t="s">
        <v>10</v>
      </c>
      <c r="B12" s="1">
        <v>8</v>
      </c>
      <c r="C12" s="1">
        <v>5</v>
      </c>
      <c r="D12" s="7">
        <f>VLOOKUP(B12,PassFares[], 2, FALSE)</f>
        <v>314</v>
      </c>
      <c r="E12" s="20">
        <f>IF(IFERROR(VLOOKUP(C12,DiscountRates[],2),0)=0,"-",D12*IFERROR(VLOOKUP(C12,DiscountRates[],2),0))</f>
        <v>56.519999999999996</v>
      </c>
      <c r="F12" s="7">
        <f t="shared" si="0"/>
        <v>257.48</v>
      </c>
    </row>
    <row r="13" spans="1:6" x14ac:dyDescent="0.2">
      <c r="A13" s="25" t="s">
        <v>11</v>
      </c>
      <c r="B13" s="1">
        <v>5</v>
      </c>
      <c r="C13" s="1">
        <v>3</v>
      </c>
      <c r="D13" s="7">
        <f>VLOOKUP(B13,PassFares[], 2, FALSE)</f>
        <v>252</v>
      </c>
      <c r="E13" s="20">
        <f>IF(IFERROR(VLOOKUP(C13,DiscountRates[],2),0)=0,"-",D13*IFERROR(VLOOKUP(C13,DiscountRates[],2),0))</f>
        <v>25.200000000000003</v>
      </c>
      <c r="F13" s="7">
        <f t="shared" si="0"/>
        <v>226.8</v>
      </c>
    </row>
    <row r="14" spans="1:6" x14ac:dyDescent="0.2">
      <c r="A14" s="25" t="s">
        <v>12</v>
      </c>
      <c r="B14" s="1">
        <v>5</v>
      </c>
      <c r="C14" s="1" t="s">
        <v>23</v>
      </c>
      <c r="D14" s="7">
        <f>VLOOKUP(B14,PassFares[], 2, FALSE)</f>
        <v>252</v>
      </c>
      <c r="E14" s="20" t="str">
        <f>IF(IFERROR(VLOOKUP(C14,DiscountRates[],2),0)=0,"-",D14*IFERROR(VLOOKUP(C14,DiscountRates[],2),0))</f>
        <v>-</v>
      </c>
      <c r="F14" s="7">
        <f t="shared" si="0"/>
        <v>252</v>
      </c>
    </row>
    <row r="15" spans="1:6" x14ac:dyDescent="0.2">
      <c r="A15" s="25" t="s">
        <v>13</v>
      </c>
      <c r="B15" s="1">
        <v>8</v>
      </c>
      <c r="C15" s="1">
        <v>2</v>
      </c>
      <c r="D15" s="7">
        <f>VLOOKUP(B15,PassFares[], 2, FALSE)</f>
        <v>314</v>
      </c>
      <c r="E15" s="20">
        <f>IF(IFERROR(VLOOKUP(C15,DiscountRates[],2),0)=0,"-",D15*IFERROR(VLOOKUP(C15,DiscountRates[],2),0))</f>
        <v>15.700000000000001</v>
      </c>
      <c r="F15" s="7">
        <f t="shared" si="0"/>
        <v>298.3</v>
      </c>
    </row>
    <row r="16" spans="1:6" x14ac:dyDescent="0.2">
      <c r="A16" s="25" t="s">
        <v>14</v>
      </c>
      <c r="B16" s="1">
        <v>6</v>
      </c>
      <c r="C16" s="1">
        <v>0</v>
      </c>
      <c r="D16" s="7">
        <f>VLOOKUP(B16,PassFares[], 2, FALSE)</f>
        <v>275</v>
      </c>
      <c r="E16" s="20">
        <f>IF(IFERROR(VLOOKUP(C16,DiscountRates[],2),0)=0,"-",D16*IFERROR(VLOOKUP(C16,DiscountRates[],2),0))</f>
        <v>13.75</v>
      </c>
      <c r="F16" s="7">
        <f t="shared" si="0"/>
        <v>261.25</v>
      </c>
    </row>
    <row r="17" spans="1:6" x14ac:dyDescent="0.2">
      <c r="A17" s="25" t="s">
        <v>15</v>
      </c>
      <c r="B17" s="1">
        <v>7</v>
      </c>
      <c r="C17" s="1">
        <v>6</v>
      </c>
      <c r="D17" s="7">
        <f>VLOOKUP(B17,PassFares[], 2, FALSE)</f>
        <v>291</v>
      </c>
      <c r="E17" s="20">
        <f>IF(IFERROR(VLOOKUP(C17,DiscountRates[],2),0)=0,"-",D17*IFERROR(VLOOKUP(C17,DiscountRates[],2),0))</f>
        <v>52.379999999999995</v>
      </c>
      <c r="F17" s="7">
        <f t="shared" si="0"/>
        <v>238.62</v>
      </c>
    </row>
    <row r="18" spans="1:6" x14ac:dyDescent="0.2">
      <c r="A18" s="25" t="s">
        <v>16</v>
      </c>
      <c r="B18" s="1">
        <v>2</v>
      </c>
      <c r="C18" s="1">
        <v>10</v>
      </c>
      <c r="D18" s="7">
        <f>VLOOKUP(B18,PassFares[], 2, FALSE)</f>
        <v>189</v>
      </c>
      <c r="E18" s="20">
        <f>IF(IFERROR(VLOOKUP(C18,DiscountRates[],2),0)=0,"-",D18*IFERROR(VLOOKUP(C18,DiscountRates[],2),0))</f>
        <v>41.58</v>
      </c>
      <c r="F18" s="7">
        <f t="shared" si="0"/>
        <v>147.42000000000002</v>
      </c>
    </row>
    <row r="19" spans="1:6" x14ac:dyDescent="0.2">
      <c r="A19" s="26" t="s">
        <v>41</v>
      </c>
      <c r="B19" s="1">
        <v>6</v>
      </c>
      <c r="C19" s="1">
        <v>1</v>
      </c>
      <c r="D19" s="7">
        <f>VLOOKUP(B19,PassFares[], 2, FALSE)</f>
        <v>275</v>
      </c>
      <c r="E19" s="20">
        <f>IF(IFERROR(VLOOKUP(C19,DiscountRates[],2),0)=0,"-",D19*IFERROR(VLOOKUP(C19,DiscountRates[],2),0))</f>
        <v>13.75</v>
      </c>
      <c r="F19" s="7">
        <f t="shared" si="0"/>
        <v>261.25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="142" zoomScaleNormal="142" workbookViewId="0">
      <selection activeCell="E12" sqref="E12"/>
    </sheetView>
  </sheetViews>
  <sheetFormatPr baseColWidth="10" defaultColWidth="8.83203125" defaultRowHeight="15" x14ac:dyDescent="0.2"/>
  <cols>
    <col min="2" max="2" width="9.6640625" customWidth="1"/>
    <col min="3" max="11" width="9.5" bestFit="1" customWidth="1"/>
  </cols>
  <sheetData>
    <row r="1" spans="1:11" x14ac:dyDescent="0.2">
      <c r="A1" s="1" t="s">
        <v>17</v>
      </c>
      <c r="B1" s="1" t="s">
        <v>42</v>
      </c>
    </row>
    <row r="2" spans="1:11" x14ac:dyDescent="0.2">
      <c r="A2" s="1">
        <v>1</v>
      </c>
      <c r="B2" s="21">
        <v>173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1">
        <v>2</v>
      </c>
      <c r="B3" s="23">
        <v>189</v>
      </c>
      <c r="C3" s="6"/>
      <c r="D3" s="6"/>
      <c r="E3" s="6"/>
      <c r="F3" s="6"/>
      <c r="G3" s="6"/>
      <c r="H3" s="6"/>
      <c r="I3" s="6"/>
      <c r="J3" s="6"/>
      <c r="K3" s="6"/>
    </row>
    <row r="4" spans="1:11" x14ac:dyDescent="0.2">
      <c r="A4" s="1">
        <v>3</v>
      </c>
      <c r="B4" s="21">
        <v>212</v>
      </c>
    </row>
    <row r="5" spans="1:11" x14ac:dyDescent="0.2">
      <c r="A5" s="1">
        <v>4</v>
      </c>
      <c r="B5" s="21">
        <v>228</v>
      </c>
    </row>
    <row r="6" spans="1:11" x14ac:dyDescent="0.2">
      <c r="A6" s="1">
        <v>5</v>
      </c>
      <c r="B6" s="21">
        <v>252</v>
      </c>
    </row>
    <row r="7" spans="1:11" x14ac:dyDescent="0.2">
      <c r="A7" s="1">
        <v>6</v>
      </c>
      <c r="B7" s="21">
        <v>275</v>
      </c>
    </row>
    <row r="8" spans="1:11" x14ac:dyDescent="0.2">
      <c r="A8" s="1">
        <v>7</v>
      </c>
      <c r="B8" s="21">
        <v>291</v>
      </c>
    </row>
    <row r="9" spans="1:11" x14ac:dyDescent="0.2">
      <c r="A9" s="1">
        <v>8</v>
      </c>
      <c r="B9" s="21">
        <v>314</v>
      </c>
    </row>
    <row r="10" spans="1:11" x14ac:dyDescent="0.2">
      <c r="A10" s="1">
        <v>9</v>
      </c>
      <c r="B10" s="21">
        <v>329</v>
      </c>
    </row>
    <row r="11" spans="1:11" x14ac:dyDescent="0.2">
      <c r="A11" s="1">
        <v>10</v>
      </c>
      <c r="B11" s="21">
        <v>345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zoomScale="167" zoomScaleNormal="167" workbookViewId="0">
      <selection activeCell="G15" sqref="G15"/>
    </sheetView>
  </sheetViews>
  <sheetFormatPr baseColWidth="10" defaultColWidth="8.83203125" defaultRowHeight="15" x14ac:dyDescent="0.2"/>
  <cols>
    <col min="2" max="2" width="8.6640625" customWidth="1"/>
  </cols>
  <sheetData>
    <row r="1" spans="1:2" x14ac:dyDescent="0.2">
      <c r="A1" s="1" t="s">
        <v>43</v>
      </c>
      <c r="B1" s="1" t="s">
        <v>20</v>
      </c>
    </row>
    <row r="2" spans="1:2" x14ac:dyDescent="0.2">
      <c r="A2" s="1">
        <v>0</v>
      </c>
      <c r="B2" s="14">
        <v>0.05</v>
      </c>
    </row>
    <row r="3" spans="1:2" x14ac:dyDescent="0.2">
      <c r="A3" s="1">
        <v>3</v>
      </c>
      <c r="B3" s="14">
        <v>0.1</v>
      </c>
    </row>
    <row r="4" spans="1:2" x14ac:dyDescent="0.2">
      <c r="A4" s="1">
        <v>5</v>
      </c>
      <c r="B4" s="14">
        <v>0.18</v>
      </c>
    </row>
    <row r="5" spans="1:2" x14ac:dyDescent="0.2">
      <c r="A5" s="1">
        <v>10</v>
      </c>
      <c r="B5" s="14">
        <v>0.22</v>
      </c>
    </row>
    <row r="6" spans="1:2" x14ac:dyDescent="0.2">
      <c r="A6" s="1">
        <v>20</v>
      </c>
      <c r="B6" s="14">
        <v>0.25</v>
      </c>
    </row>
    <row r="7" spans="1:2" x14ac:dyDescent="0.2">
      <c r="A7" s="1">
        <v>25</v>
      </c>
      <c r="B7" s="14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Health Club Tables</vt:lpstr>
      <vt:lpstr>Commuter Passes</vt:lpstr>
      <vt:lpstr>Pass Fares</vt:lpstr>
      <vt:lpstr>Employee 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Schedlbauer</dc:creator>
  <cp:keywords>CS1100</cp:keywords>
  <cp:lastModifiedBy>Dipika Jothinathan</cp:lastModifiedBy>
  <dcterms:created xsi:type="dcterms:W3CDTF">2011-03-11T13:58:34Z</dcterms:created>
  <dcterms:modified xsi:type="dcterms:W3CDTF">2023-12-03T21:54:03Z</dcterms:modified>
</cp:coreProperties>
</file>