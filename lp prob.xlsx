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ika/Desktop/Dipika/IT_Experts_Inc/Excel/"/>
    </mc:Choice>
  </mc:AlternateContent>
  <xr:revisionPtr revIDLastSave="0" documentId="13_ncr:1_{67EF5021-2667-404B-91DF-BC4BBFBA3978}" xr6:coauthVersionLast="47" xr6:coauthVersionMax="47" xr10:uidLastSave="{00000000-0000-0000-0000-000000000000}"/>
  <bookViews>
    <workbookView xWindow="1160" yWindow="500" windowWidth="27640" windowHeight="15300" xr2:uid="{589D3757-0B25-184E-8C58-21815195974C}"/>
  </bookViews>
  <sheets>
    <sheet name="Transportation" sheetId="1" r:id="rId1"/>
    <sheet name="Swim Team" sheetId="2" r:id="rId2"/>
    <sheet name="Golding-Grow" sheetId="3" r:id="rId3"/>
  </sheets>
  <definedNames>
    <definedName name="solver_adj" localSheetId="2" hidden="1">'Golding-Grow'!$B$2:$E$2</definedName>
    <definedName name="solver_adj" localSheetId="1" hidden="1">'Swim Team'!$B$10:$E$14</definedName>
    <definedName name="solver_adj" localSheetId="0" hidden="1">Transportation!$B$7:$D$8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2</definedName>
    <definedName name="solver_eng" localSheetId="1" hidden="1">2</definedName>
    <definedName name="solver_eng" localSheetId="0" hidden="1">2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'Golding-Grow'!$F$5:$F$6</definedName>
    <definedName name="solver_lhs1" localSheetId="1" hidden="1">'Swim Team'!$B$15:$E$15</definedName>
    <definedName name="solver_lhs1" localSheetId="0" hidden="1">Transportation!$B$9:$D$9</definedName>
    <definedName name="solver_lhs2" localSheetId="2" hidden="1">'Golding-Grow'!$F$7</definedName>
    <definedName name="solver_lhs2" localSheetId="1" hidden="1">'Swim Team'!$F$10:$F$14</definedName>
    <definedName name="solver_lhs2" localSheetId="0" hidden="1">Transportation!$E$7:$E$8</definedName>
    <definedName name="solver_lhs3" localSheetId="2" hidden="1">'Golding-Grow'!$F$8</definedName>
    <definedName name="solver_lin" localSheetId="2" hidden="1">1</definedName>
    <definedName name="solver_lin" localSheetId="1" hidden="1">1</definedName>
    <definedName name="solver_lin" localSheetId="0" hidden="1">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3</definedName>
    <definedName name="solver_num" localSheetId="1" hidden="1">2</definedName>
    <definedName name="solver_num" localSheetId="0" hidden="1">2</definedName>
    <definedName name="solver_opt" localSheetId="2" hidden="1">'Golding-Grow'!$F$11</definedName>
    <definedName name="solver_opt" localSheetId="1" hidden="1">'Swim Team'!$B$19</definedName>
    <definedName name="solver_opt" localSheetId="0" hidden="1">Transportation!$B$14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3</definedName>
    <definedName name="solver_rel1" localSheetId="1" hidden="1">2</definedName>
    <definedName name="solver_rel1" localSheetId="0" hidden="1">3</definedName>
    <definedName name="solver_rel2" localSheetId="2" hidden="1">1</definedName>
    <definedName name="solver_rel2" localSheetId="1" hidden="1">1</definedName>
    <definedName name="solver_rel2" localSheetId="0" hidden="1">1</definedName>
    <definedName name="solver_rel3" localSheetId="2" hidden="1">2</definedName>
    <definedName name="solver_rhs1" localSheetId="2" hidden="1">'Golding-Grow'!$H$5:$H$6</definedName>
    <definedName name="solver_rhs1" localSheetId="1" hidden="1">'Swim Team'!$B$17:$E$17</definedName>
    <definedName name="solver_rhs1" localSheetId="0" hidden="1">Transportation!$B$11:$D$11</definedName>
    <definedName name="solver_rhs2" localSheetId="2" hidden="1">'Golding-Grow'!$H$7</definedName>
    <definedName name="solver_rhs2" localSheetId="1" hidden="1">'Swim Team'!$H$10:$H$14</definedName>
    <definedName name="solver_rhs2" localSheetId="0" hidden="1">Transportation!$G$7:$G$8</definedName>
    <definedName name="solver_rhs3" localSheetId="2" hidden="1">'Golding-Grow'!$H$8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2</definedName>
    <definedName name="solver_typ" localSheetId="1" hidden="1">2</definedName>
    <definedName name="solver_typ" localSheetId="0" hidden="1">2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2</definedName>
    <definedName name="solver_ver" localSheetId="1" hidden="1">2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6" i="3"/>
  <c r="F7" i="3"/>
  <c r="F8" i="3"/>
  <c r="F5" i="3"/>
  <c r="H7" i="3"/>
  <c r="H5" i="3"/>
  <c r="H6" i="3"/>
  <c r="B19" i="2"/>
  <c r="C15" i="2"/>
  <c r="D15" i="2"/>
  <c r="E15" i="2"/>
  <c r="B15" i="2"/>
  <c r="F11" i="2"/>
  <c r="F12" i="2"/>
  <c r="F13" i="2"/>
  <c r="F14" i="2"/>
  <c r="F10" i="2"/>
  <c r="B14" i="1"/>
  <c r="D9" i="1"/>
  <c r="C9" i="1"/>
  <c r="B9" i="1"/>
  <c r="E8" i="1"/>
  <c r="E7" i="1"/>
</calcChain>
</file>

<file path=xl/sharedStrings.xml><?xml version="1.0" encoding="utf-8"?>
<sst xmlns="http://schemas.openxmlformats.org/spreadsheetml/2006/main" count="69" uniqueCount="36">
  <si>
    <t>Costs</t>
  </si>
  <si>
    <t>A</t>
  </si>
  <si>
    <t>B</t>
  </si>
  <si>
    <t>Unit</t>
  </si>
  <si>
    <t>&lt;=</t>
  </si>
  <si>
    <t>Capacity</t>
  </si>
  <si>
    <t>Demand</t>
  </si>
  <si>
    <t>&gt;=</t>
  </si>
  <si>
    <t>Minimize Cost</t>
  </si>
  <si>
    <t>Backstroke</t>
  </si>
  <si>
    <t>Time (sec.)</t>
  </si>
  <si>
    <t>Breaststroke</t>
  </si>
  <si>
    <t>Butterfly</t>
  </si>
  <si>
    <t>Freestyle</t>
  </si>
  <si>
    <t>Carl</t>
  </si>
  <si>
    <t>Chris</t>
  </si>
  <si>
    <t>David</t>
  </si>
  <si>
    <t>Tony</t>
  </si>
  <si>
    <t>Ken</t>
  </si>
  <si>
    <t>Assignment</t>
  </si>
  <si>
    <t>=</t>
  </si>
  <si>
    <t>Constraint 1</t>
  </si>
  <si>
    <t>Constraint 2</t>
  </si>
  <si>
    <t>Constraint 1: select maximum 1 stroke for a swimmer</t>
  </si>
  <si>
    <t>Constraint 2: select minimum 1 swimmer for a stroke</t>
  </si>
  <si>
    <t>Minimize Time</t>
  </si>
  <si>
    <t>C-30</t>
  </si>
  <si>
    <t>C-92</t>
  </si>
  <si>
    <t>D-21</t>
  </si>
  <si>
    <t>E-11</t>
  </si>
  <si>
    <t>Cost per lb</t>
  </si>
  <si>
    <t>Blend</t>
  </si>
  <si>
    <t>Total pounds</t>
  </si>
  <si>
    <t>Constraint 3</t>
  </si>
  <si>
    <t>Constraint 4</t>
  </si>
  <si>
    <t>Change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</si>
</sst>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_(* #,##0.0_);_(* \(#,##0.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1" applyNumberFormat="1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3826-CFDA-2742-958C-1C5CA46C7A3E}">
  <dimension ref="A1:G14"/>
  <sheetViews>
    <sheetView tabSelected="1" workbookViewId="0">
      <selection activeCell="I12" sqref="I12"/>
    </sheetView>
  </sheetViews>
  <sheetFormatPr baseColWidth="10" defaultRowHeight="16" x14ac:dyDescent="0.2"/>
  <cols>
    <col min="1" max="1" width="13.5" style="2" customWidth="1"/>
    <col min="2" max="2" width="8.1640625" style="2" customWidth="1"/>
    <col min="3" max="3" width="6.33203125" style="2" customWidth="1"/>
    <col min="4" max="4" width="7" style="2" customWidth="1"/>
    <col min="5" max="5" width="4.6640625" style="2" customWidth="1"/>
    <col min="6" max="6" width="5" style="2" customWidth="1"/>
    <col min="7" max="7" width="9.1640625" style="2" customWidth="1"/>
    <col min="8" max="16384" width="10.83203125" style="2"/>
  </cols>
  <sheetData>
    <row r="1" spans="1:7" x14ac:dyDescent="0.2">
      <c r="A1" s="1" t="s">
        <v>0</v>
      </c>
      <c r="B1" s="1">
        <v>1</v>
      </c>
      <c r="C1" s="1">
        <v>2</v>
      </c>
      <c r="D1" s="1">
        <v>3</v>
      </c>
    </row>
    <row r="2" spans="1:7" x14ac:dyDescent="0.2">
      <c r="A2" s="1" t="s">
        <v>1</v>
      </c>
      <c r="B2" s="3">
        <v>4</v>
      </c>
      <c r="C2" s="3">
        <v>6</v>
      </c>
      <c r="D2" s="3">
        <v>4</v>
      </c>
    </row>
    <row r="3" spans="1:7" x14ac:dyDescent="0.2">
      <c r="A3" s="1" t="s">
        <v>2</v>
      </c>
      <c r="B3" s="3">
        <v>6</v>
      </c>
      <c r="C3" s="3">
        <v>5</v>
      </c>
      <c r="D3" s="3">
        <v>2</v>
      </c>
    </row>
    <row r="6" spans="1:7" x14ac:dyDescent="0.2">
      <c r="A6" s="1" t="s">
        <v>3</v>
      </c>
      <c r="B6" s="1">
        <v>1</v>
      </c>
      <c r="C6" s="1">
        <v>2</v>
      </c>
      <c r="D6" s="1">
        <v>3</v>
      </c>
      <c r="E6" s="1"/>
      <c r="F6" s="1"/>
      <c r="G6" s="1" t="s">
        <v>5</v>
      </c>
    </row>
    <row r="7" spans="1:7" x14ac:dyDescent="0.2">
      <c r="A7" s="1" t="s">
        <v>1</v>
      </c>
      <c r="B7" s="4">
        <v>40</v>
      </c>
      <c r="C7" s="4">
        <v>20</v>
      </c>
      <c r="D7" s="4">
        <v>0</v>
      </c>
      <c r="E7" s="2">
        <f>SUM(B7:D7)</f>
        <v>60</v>
      </c>
      <c r="F7" s="2" t="s">
        <v>4</v>
      </c>
      <c r="G7" s="2">
        <v>60</v>
      </c>
    </row>
    <row r="8" spans="1:7" x14ac:dyDescent="0.2">
      <c r="A8" s="1" t="s">
        <v>2</v>
      </c>
      <c r="B8" s="4">
        <v>0</v>
      </c>
      <c r="C8" s="4">
        <v>20</v>
      </c>
      <c r="D8" s="4">
        <v>40</v>
      </c>
      <c r="E8" s="2">
        <f>SUM(B8:D8)</f>
        <v>60</v>
      </c>
      <c r="F8" s="2" t="s">
        <v>4</v>
      </c>
      <c r="G8" s="2">
        <v>60</v>
      </c>
    </row>
    <row r="9" spans="1:7" x14ac:dyDescent="0.2">
      <c r="A9" s="1"/>
      <c r="B9" s="2">
        <f>SUM(B7:B8)</f>
        <v>40</v>
      </c>
      <c r="C9" s="2">
        <f>SUM(C7:C8)</f>
        <v>40</v>
      </c>
      <c r="D9" s="2">
        <f>SUM(D7:D8)</f>
        <v>40</v>
      </c>
    </row>
    <row r="10" spans="1:7" x14ac:dyDescent="0.2">
      <c r="A10" s="1"/>
      <c r="B10" s="2" t="s">
        <v>7</v>
      </c>
      <c r="C10" s="2" t="s">
        <v>7</v>
      </c>
      <c r="D10" s="2" t="s">
        <v>7</v>
      </c>
    </row>
    <row r="11" spans="1:7" x14ac:dyDescent="0.2">
      <c r="A11" s="1" t="s">
        <v>6</v>
      </c>
      <c r="B11" s="2">
        <v>40</v>
      </c>
      <c r="C11" s="2">
        <v>40</v>
      </c>
      <c r="D11" s="2">
        <v>40</v>
      </c>
    </row>
    <row r="14" spans="1:7" x14ac:dyDescent="0.2">
      <c r="A14" s="1" t="s">
        <v>8</v>
      </c>
      <c r="B14" s="5">
        <f>SUMPRODUCT(B2:D3,B7:D8)</f>
        <v>460</v>
      </c>
    </row>
  </sheetData>
  <pageMargins left="0.7" right="0.7" top="0.75" bottom="0.75" header="0.3" footer="0.3"/>
  <ignoredErrors>
    <ignoredError sqref="B9:D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E980-5AC9-D841-9714-A7D6D4E09385}">
  <dimension ref="A1:M19"/>
  <sheetViews>
    <sheetView workbookViewId="0">
      <selection activeCell="J13" sqref="J13"/>
    </sheetView>
  </sheetViews>
  <sheetFormatPr baseColWidth="10" defaultRowHeight="16" x14ac:dyDescent="0.2"/>
  <cols>
    <col min="1" max="1" width="11" style="2" customWidth="1"/>
    <col min="2" max="2" width="9.6640625" style="2" customWidth="1"/>
    <col min="3" max="3" width="10.1640625" style="2" customWidth="1"/>
    <col min="4" max="5" width="8.6640625" style="2" customWidth="1"/>
    <col min="6" max="6" width="11.33203125" style="2" customWidth="1"/>
    <col min="7" max="8" width="4.6640625" style="2" customWidth="1"/>
    <col min="9" max="16384" width="10.83203125" style="2"/>
  </cols>
  <sheetData>
    <row r="1" spans="1:13" x14ac:dyDescent="0.2">
      <c r="A1" s="6" t="s">
        <v>10</v>
      </c>
      <c r="B1" s="6" t="s">
        <v>9</v>
      </c>
      <c r="C1" s="6" t="s">
        <v>11</v>
      </c>
      <c r="D1" s="6" t="s">
        <v>12</v>
      </c>
      <c r="E1" s="6" t="s">
        <v>13</v>
      </c>
      <c r="G1" s="10"/>
      <c r="H1" s="10"/>
      <c r="I1" s="10"/>
      <c r="J1" s="11" t="s">
        <v>23</v>
      </c>
      <c r="K1" s="11"/>
      <c r="L1" s="10"/>
    </row>
    <row r="2" spans="1:13" x14ac:dyDescent="0.2">
      <c r="A2" s="7" t="s">
        <v>14</v>
      </c>
      <c r="B2" s="8">
        <v>37.700000000000003</v>
      </c>
      <c r="C2" s="8">
        <v>43.4</v>
      </c>
      <c r="D2" s="8">
        <v>33.299999999999997</v>
      </c>
      <c r="E2" s="8">
        <v>29.2</v>
      </c>
      <c r="G2" s="10"/>
      <c r="H2" s="10"/>
      <c r="I2" s="10"/>
      <c r="J2" s="11" t="s">
        <v>24</v>
      </c>
      <c r="K2" s="11"/>
      <c r="L2" s="10"/>
      <c r="M2" s="15"/>
    </row>
    <row r="3" spans="1:13" x14ac:dyDescent="0.2">
      <c r="A3" s="7" t="s">
        <v>15</v>
      </c>
      <c r="B3" s="8">
        <v>32.9</v>
      </c>
      <c r="C3" s="8">
        <v>33.1</v>
      </c>
      <c r="D3" s="8">
        <v>28.5</v>
      </c>
      <c r="E3" s="8">
        <v>26.4</v>
      </c>
      <c r="L3" s="15"/>
      <c r="M3" s="15"/>
    </row>
    <row r="4" spans="1:13" x14ac:dyDescent="0.2">
      <c r="A4" s="7" t="s">
        <v>16</v>
      </c>
      <c r="B4" s="8">
        <v>33.799999999999997</v>
      </c>
      <c r="C4" s="8">
        <v>42.2</v>
      </c>
      <c r="D4" s="8">
        <v>38.9</v>
      </c>
      <c r="E4" s="8">
        <v>29.6</v>
      </c>
    </row>
    <row r="5" spans="1:13" x14ac:dyDescent="0.2">
      <c r="A5" s="7" t="s">
        <v>17</v>
      </c>
      <c r="B5" s="8">
        <v>37</v>
      </c>
      <c r="C5" s="8">
        <v>34.700000000000003</v>
      </c>
      <c r="D5" s="8">
        <v>30.4</v>
      </c>
      <c r="E5" s="8">
        <v>28.5</v>
      </c>
    </row>
    <row r="6" spans="1:13" x14ac:dyDescent="0.2">
      <c r="A6" s="7" t="s">
        <v>18</v>
      </c>
      <c r="B6" s="8">
        <v>35.4</v>
      </c>
      <c r="C6" s="8">
        <v>41.8</v>
      </c>
      <c r="D6" s="8">
        <v>33.6</v>
      </c>
      <c r="E6" s="8">
        <v>31.1</v>
      </c>
    </row>
    <row r="9" spans="1:13" ht="19" customHeight="1" x14ac:dyDescent="0.2">
      <c r="A9" s="7" t="s">
        <v>19</v>
      </c>
      <c r="B9" s="6" t="s">
        <v>9</v>
      </c>
      <c r="C9" s="6" t="s">
        <v>11</v>
      </c>
      <c r="D9" s="6" t="s">
        <v>12</v>
      </c>
      <c r="E9" s="6" t="s">
        <v>13</v>
      </c>
      <c r="F9" s="1" t="s">
        <v>21</v>
      </c>
    </row>
    <row r="10" spans="1:13" x14ac:dyDescent="0.2">
      <c r="A10" s="7" t="s">
        <v>14</v>
      </c>
      <c r="B10" s="4">
        <v>0</v>
      </c>
      <c r="C10" s="4">
        <v>0</v>
      </c>
      <c r="D10" s="4">
        <v>0</v>
      </c>
      <c r="E10" s="4">
        <v>1</v>
      </c>
      <c r="F10" s="2">
        <f>SUM(B10:E10)</f>
        <v>1</v>
      </c>
      <c r="G10" s="2" t="s">
        <v>4</v>
      </c>
      <c r="H10" s="2">
        <v>1</v>
      </c>
    </row>
    <row r="11" spans="1:13" x14ac:dyDescent="0.2">
      <c r="A11" s="7" t="s">
        <v>15</v>
      </c>
      <c r="B11" s="4">
        <v>0</v>
      </c>
      <c r="C11" s="4">
        <v>0</v>
      </c>
      <c r="D11" s="4">
        <v>1</v>
      </c>
      <c r="E11" s="4">
        <v>0</v>
      </c>
      <c r="F11" s="2">
        <f t="shared" ref="F11:F14" si="0">SUM(B11:E11)</f>
        <v>1</v>
      </c>
      <c r="G11" s="2" t="s">
        <v>4</v>
      </c>
      <c r="H11" s="2">
        <v>1</v>
      </c>
    </row>
    <row r="12" spans="1:13" x14ac:dyDescent="0.2">
      <c r="A12" s="7" t="s">
        <v>16</v>
      </c>
      <c r="B12" s="4">
        <v>1</v>
      </c>
      <c r="C12" s="4">
        <v>0</v>
      </c>
      <c r="D12" s="4">
        <v>0</v>
      </c>
      <c r="E12" s="4">
        <v>0</v>
      </c>
      <c r="F12" s="2">
        <f t="shared" si="0"/>
        <v>1</v>
      </c>
      <c r="G12" s="2" t="s">
        <v>4</v>
      </c>
      <c r="H12" s="2">
        <v>1</v>
      </c>
    </row>
    <row r="13" spans="1:13" x14ac:dyDescent="0.2">
      <c r="A13" s="7" t="s">
        <v>17</v>
      </c>
      <c r="B13" s="4">
        <v>0</v>
      </c>
      <c r="C13" s="4">
        <v>1</v>
      </c>
      <c r="D13" s="4">
        <v>0</v>
      </c>
      <c r="E13" s="4">
        <v>0</v>
      </c>
      <c r="F13" s="2">
        <f t="shared" si="0"/>
        <v>1</v>
      </c>
      <c r="G13" s="2" t="s">
        <v>4</v>
      </c>
      <c r="H13" s="2">
        <v>1</v>
      </c>
    </row>
    <row r="14" spans="1:13" x14ac:dyDescent="0.2">
      <c r="A14" s="7" t="s">
        <v>18</v>
      </c>
      <c r="B14" s="4">
        <v>0</v>
      </c>
      <c r="C14" s="4">
        <v>0</v>
      </c>
      <c r="D14" s="4">
        <v>0</v>
      </c>
      <c r="E14" s="4">
        <v>0</v>
      </c>
      <c r="F14" s="2">
        <f t="shared" si="0"/>
        <v>0</v>
      </c>
      <c r="G14" s="2" t="s">
        <v>4</v>
      </c>
      <c r="H14" s="2">
        <v>1</v>
      </c>
    </row>
    <row r="15" spans="1:13" x14ac:dyDescent="0.2">
      <c r="B15" s="2">
        <f>SUM(B10:B14)</f>
        <v>1</v>
      </c>
      <c r="C15" s="2">
        <f t="shared" ref="C15:E15" si="1">SUM(C10:C14)</f>
        <v>1</v>
      </c>
      <c r="D15" s="2">
        <f t="shared" si="1"/>
        <v>1</v>
      </c>
      <c r="E15" s="2">
        <f t="shared" si="1"/>
        <v>1</v>
      </c>
    </row>
    <row r="16" spans="1:13" x14ac:dyDescent="0.2">
      <c r="B16" s="2" t="s">
        <v>20</v>
      </c>
      <c r="C16" s="2" t="s">
        <v>20</v>
      </c>
      <c r="D16" s="2" t="s">
        <v>20</v>
      </c>
      <c r="E16" s="2" t="s">
        <v>20</v>
      </c>
    </row>
    <row r="17" spans="1:5" x14ac:dyDescent="0.2">
      <c r="A17" s="1" t="s">
        <v>22</v>
      </c>
      <c r="B17" s="2">
        <v>1</v>
      </c>
      <c r="C17" s="2">
        <v>1</v>
      </c>
      <c r="D17" s="2">
        <v>1</v>
      </c>
      <c r="E17" s="2">
        <v>1</v>
      </c>
    </row>
    <row r="19" spans="1:5" ht="34" x14ac:dyDescent="0.2">
      <c r="A19" s="9" t="s">
        <v>25</v>
      </c>
      <c r="B19" s="12">
        <f>SUMPRODUCT(B2:E6,B10:E14)</f>
        <v>126.2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2184-39CE-A840-B61A-A9AE95E59D7E}">
  <dimension ref="A1:H11"/>
  <sheetViews>
    <sheetView workbookViewId="0">
      <selection activeCell="J11" sqref="J11"/>
    </sheetView>
  </sheetViews>
  <sheetFormatPr baseColWidth="10" defaultRowHeight="16" x14ac:dyDescent="0.2"/>
  <cols>
    <col min="1" max="2" width="10.5" style="2" customWidth="1"/>
    <col min="3" max="3" width="5.5" style="2" customWidth="1"/>
    <col min="4" max="5" width="5.83203125" style="2" customWidth="1"/>
    <col min="6" max="6" width="6" style="2" customWidth="1"/>
    <col min="7" max="8" width="6.5" style="2" customWidth="1"/>
    <col min="9" max="16384" width="10.83203125" style="2"/>
  </cols>
  <sheetData>
    <row r="1" spans="1:8" x14ac:dyDescent="0.2">
      <c r="B1" s="1" t="s">
        <v>26</v>
      </c>
      <c r="C1" s="1" t="s">
        <v>27</v>
      </c>
      <c r="D1" s="1" t="s">
        <v>28</v>
      </c>
      <c r="E1" s="1" t="s">
        <v>29</v>
      </c>
      <c r="G1" s="1" t="s">
        <v>32</v>
      </c>
    </row>
    <row r="2" spans="1:8" x14ac:dyDescent="0.2">
      <c r="A2" s="1" t="s">
        <v>35</v>
      </c>
      <c r="B2" s="14">
        <v>7.5</v>
      </c>
      <c r="C2" s="14">
        <v>15</v>
      </c>
      <c r="D2" s="14">
        <v>0</v>
      </c>
      <c r="E2" s="14">
        <v>27.5</v>
      </c>
      <c r="G2" s="2">
        <v>50</v>
      </c>
    </row>
    <row r="4" spans="1:8" x14ac:dyDescent="0.2">
      <c r="A4" s="1" t="s">
        <v>31</v>
      </c>
      <c r="B4" s="1" t="s">
        <v>26</v>
      </c>
      <c r="C4" s="1" t="s">
        <v>27</v>
      </c>
      <c r="D4" s="1" t="s">
        <v>28</v>
      </c>
      <c r="E4" s="1" t="s">
        <v>29</v>
      </c>
    </row>
    <row r="5" spans="1:8" x14ac:dyDescent="0.2">
      <c r="A5" s="1" t="s">
        <v>21</v>
      </c>
      <c r="B5" s="13">
        <v>0</v>
      </c>
      <c r="C5" s="13">
        <v>0</v>
      </c>
      <c r="D5" s="13">
        <v>0</v>
      </c>
      <c r="E5" s="13">
        <v>1</v>
      </c>
      <c r="F5" s="2">
        <f>SUMPRODUCT($B$2:$E$2,B5:E5)</f>
        <v>27.5</v>
      </c>
      <c r="G5" s="2" t="s">
        <v>7</v>
      </c>
      <c r="H5" s="2">
        <f>0.15*G2</f>
        <v>7.5</v>
      </c>
    </row>
    <row r="6" spans="1:8" x14ac:dyDescent="0.2">
      <c r="A6" s="1" t="s">
        <v>22</v>
      </c>
      <c r="B6" s="13">
        <v>1</v>
      </c>
      <c r="C6" s="13">
        <v>1</v>
      </c>
      <c r="D6" s="13">
        <v>0</v>
      </c>
      <c r="E6" s="13">
        <v>0</v>
      </c>
      <c r="F6" s="2">
        <f t="shared" ref="F6:F11" si="0">SUMPRODUCT($B$2:$E$2,B6:E6)</f>
        <v>22.5</v>
      </c>
      <c r="G6" s="2" t="s">
        <v>7</v>
      </c>
      <c r="H6" s="2">
        <f>0.45*G2</f>
        <v>22.5</v>
      </c>
    </row>
    <row r="7" spans="1:8" x14ac:dyDescent="0.2">
      <c r="A7" s="1" t="s">
        <v>33</v>
      </c>
      <c r="B7" s="13">
        <v>0</v>
      </c>
      <c r="C7" s="13">
        <v>1</v>
      </c>
      <c r="D7" s="13">
        <v>1</v>
      </c>
      <c r="E7" s="13">
        <v>0</v>
      </c>
      <c r="F7" s="2">
        <f t="shared" si="0"/>
        <v>15</v>
      </c>
      <c r="G7" s="2" t="s">
        <v>4</v>
      </c>
      <c r="H7" s="2">
        <f>0.3*G2</f>
        <v>15</v>
      </c>
    </row>
    <row r="8" spans="1:8" x14ac:dyDescent="0.2">
      <c r="A8" s="1" t="s">
        <v>34</v>
      </c>
      <c r="B8" s="13">
        <v>1</v>
      </c>
      <c r="C8" s="13">
        <v>1</v>
      </c>
      <c r="D8" s="13">
        <v>1</v>
      </c>
      <c r="E8" s="13">
        <v>1</v>
      </c>
      <c r="F8" s="2">
        <f t="shared" si="0"/>
        <v>50</v>
      </c>
      <c r="G8" s="2" t="s">
        <v>20</v>
      </c>
      <c r="H8" s="2">
        <v>50</v>
      </c>
    </row>
    <row r="10" spans="1:8" x14ac:dyDescent="0.2">
      <c r="C10" s="1" t="s">
        <v>30</v>
      </c>
    </row>
    <row r="11" spans="1:8" ht="34" x14ac:dyDescent="0.2">
      <c r="A11" s="9" t="s">
        <v>8</v>
      </c>
      <c r="B11" s="3">
        <v>0.12</v>
      </c>
      <c r="C11" s="3">
        <v>0.09</v>
      </c>
      <c r="D11" s="3">
        <v>0.11</v>
      </c>
      <c r="E11" s="3">
        <v>0.04</v>
      </c>
      <c r="F11" s="5">
        <f t="shared" si="0"/>
        <v>3.35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</vt:lpstr>
      <vt:lpstr>Swim Team</vt:lpstr>
      <vt:lpstr>Golding-Grow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Jothinathan</dc:creator>
  <cp:lastModifiedBy>Dipika Jothinathan</cp:lastModifiedBy>
  <dcterms:created xsi:type="dcterms:W3CDTF">2023-12-29T16:51:33Z</dcterms:created>
  <dcterms:modified xsi:type="dcterms:W3CDTF">2023-12-29T19:47:25Z</dcterms:modified>
</cp:coreProperties>
</file>