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pika/Desktop/Dipika/IT_Experts_Inc/Excel/"/>
    </mc:Choice>
  </mc:AlternateContent>
  <xr:revisionPtr revIDLastSave="0" documentId="13_ncr:1_{DC666DF1-FA6E-CD4E-B87B-0F3F9279E3B5}" xr6:coauthVersionLast="47" xr6:coauthVersionMax="47" xr10:uidLastSave="{00000000-0000-0000-0000-000000000000}"/>
  <bookViews>
    <workbookView xWindow="0" yWindow="0" windowWidth="28800" windowHeight="18000" xr2:uid="{10E0645F-0F50-BF4D-8125-239449901833}"/>
  </bookViews>
  <sheets>
    <sheet name="Exercise 1" sheetId="2" r:id="rId1"/>
    <sheet name="Example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2" i="2"/>
  <c r="B15" i="2"/>
  <c r="A15" i="2"/>
  <c r="C12" i="1"/>
  <c r="B12" i="1"/>
  <c r="D4" i="1" s="1"/>
  <c r="D7" i="1" l="1"/>
  <c r="D6" i="1"/>
  <c r="D3" i="1"/>
  <c r="D5" i="1"/>
  <c r="D8" i="1"/>
</calcChain>
</file>

<file path=xl/sharedStrings.xml><?xml version="1.0" encoding="utf-8"?>
<sst xmlns="http://schemas.openxmlformats.org/spreadsheetml/2006/main" count="14" uniqueCount="12">
  <si>
    <t>Tree</t>
  </si>
  <si>
    <t>Initial height(ft)</t>
  </si>
  <si>
    <t>Final height(ft)</t>
  </si>
  <si>
    <t>x</t>
  </si>
  <si>
    <t>y</t>
  </si>
  <si>
    <t>slope</t>
  </si>
  <si>
    <t>intercept</t>
  </si>
  <si>
    <t>line</t>
  </si>
  <si>
    <t>Mass</t>
  </si>
  <si>
    <t>Toxin Tolerance</t>
  </si>
  <si>
    <t>Line</t>
  </si>
  <si>
    <r>
      <t xml:space="preserve">Linear Fit is </t>
    </r>
    <r>
      <rPr>
        <b/>
        <sz val="14"/>
        <color rgb="FFFF0000"/>
        <rFont val="Calibri (Body)"/>
      </rPr>
      <t xml:space="preserve">NOT </t>
    </r>
    <r>
      <rPr>
        <b/>
        <sz val="14"/>
        <color theme="1"/>
        <rFont val="Calibri"/>
        <family val="2"/>
        <scheme val="minor"/>
      </rPr>
      <t>a good choice for this data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</si>
</sst>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41E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'Exercise 1'!$B$1</c:f>
              <c:strCache>
                <c:ptCount val="1"/>
                <c:pt idx="0">
                  <c:v>Toxin Tolerance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'Exercise 1'!$A$2:$A$11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'Exercise 1'!$B$2:$B$11</c:f>
              <c:numCache>
                <c:formatCode>General</c:formatCode>
                <c:ptCount val="10"/>
                <c:pt idx="0">
                  <c:v>2.0150000000000001</c:v>
                </c:pt>
                <c:pt idx="1">
                  <c:v>1.589</c:v>
                </c:pt>
                <c:pt idx="2">
                  <c:v>1.784</c:v>
                </c:pt>
                <c:pt idx="3">
                  <c:v>1.782</c:v>
                </c:pt>
                <c:pt idx="4">
                  <c:v>2.7320000000000002</c:v>
                </c:pt>
                <c:pt idx="5">
                  <c:v>2.0790000000000002</c:v>
                </c:pt>
                <c:pt idx="6">
                  <c:v>2.0190000000000001</c:v>
                </c:pt>
                <c:pt idx="7">
                  <c:v>2.3170000000000002</c:v>
                </c:pt>
                <c:pt idx="8">
                  <c:v>3.028</c:v>
                </c:pt>
                <c:pt idx="9">
                  <c:v>3.786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22-FF42-B400-46F59C80670D}"/>
            </c:ext>
          </c:extLst>
        </c:ser>
        <c:ser>
          <c:idx val="1"/>
          <c:order val="1"/>
          <c:tx>
            <c:strRef>
              <c:f>'Exercise 1'!$C$1</c:f>
              <c:strCache>
                <c:ptCount val="1"/>
                <c:pt idx="0">
                  <c:v>Line</c:v>
                </c:pt>
              </c:strCache>
            </c:strRef>
          </c:tx>
          <c:spPr>
            <a:ln w="19050" cap="rnd">
              <a:solidFill>
                <a:srgbClr val="C41EBF"/>
              </a:solidFill>
              <a:round/>
            </a:ln>
            <a:effectLst/>
          </c:spPr>
          <c:marker>
            <c:symbol val="none"/>
          </c:marker>
          <c:xVal>
            <c:numRef>
              <c:f>'Exercise 1'!$A$2:$A$11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'Exercise 1'!$C$2:$C$11</c:f>
              <c:numCache>
                <c:formatCode>General</c:formatCode>
                <c:ptCount val="10"/>
                <c:pt idx="0">
                  <c:v>1.5294181818181816</c:v>
                </c:pt>
                <c:pt idx="1">
                  <c:v>1.7035696969696967</c:v>
                </c:pt>
                <c:pt idx="2">
                  <c:v>1.8777212121212119</c:v>
                </c:pt>
                <c:pt idx="3">
                  <c:v>2.0518727272727268</c:v>
                </c:pt>
                <c:pt idx="4">
                  <c:v>2.2260242424242422</c:v>
                </c:pt>
                <c:pt idx="5">
                  <c:v>2.4001757575757576</c:v>
                </c:pt>
                <c:pt idx="6">
                  <c:v>2.5743272727272726</c:v>
                </c:pt>
                <c:pt idx="7">
                  <c:v>2.7484787878787875</c:v>
                </c:pt>
                <c:pt idx="8">
                  <c:v>2.9226303030303029</c:v>
                </c:pt>
                <c:pt idx="9">
                  <c:v>3.0967818181818183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22-FF42-B400-46F59C806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340639"/>
        <c:axId val="245959423"/>
      </c:scatterChart>
      <c:valAx>
        <c:axId val="246340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C41EBF">
                  <a:alpha val="0"/>
                </a:srgb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959423"/>
        <c:crosses val="autoZero"/>
        <c:crossBetween val="midCat"/>
      </c:valAx>
      <c:valAx>
        <c:axId val="24595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340639"/>
        <c:crosses val="autoZero"/>
        <c:crossBetween val="midCat"/>
      </c:valAx>
      <c:spPr>
        <a:solidFill>
          <a:schemeClr val="bg2">
            <a:lumMod val="7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Example!$C$2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2"/>
              </a:solidFill>
              <a:ln w="15875">
                <a:solidFill>
                  <a:schemeClr val="accent1"/>
                </a:solidFill>
              </a:ln>
              <a:effectLst/>
            </c:spPr>
          </c:marker>
          <c:xVal>
            <c:numRef>
              <c:f>Example!$B$3:$B$8</c:f>
              <c:numCache>
                <c:formatCode>General</c:formatCode>
                <c:ptCount val="6"/>
                <c:pt idx="0">
                  <c:v>23.1</c:v>
                </c:pt>
                <c:pt idx="1">
                  <c:v>18.7</c:v>
                </c:pt>
                <c:pt idx="2">
                  <c:v>20.6</c:v>
                </c:pt>
                <c:pt idx="3">
                  <c:v>16</c:v>
                </c:pt>
                <c:pt idx="4">
                  <c:v>32.5</c:v>
                </c:pt>
                <c:pt idx="5">
                  <c:v>19.8</c:v>
                </c:pt>
              </c:numCache>
            </c:numRef>
          </c:xVal>
          <c:yVal>
            <c:numRef>
              <c:f>Example!$C$3:$C$8</c:f>
              <c:numCache>
                <c:formatCode>General</c:formatCode>
                <c:ptCount val="6"/>
                <c:pt idx="0">
                  <c:v>24.1</c:v>
                </c:pt>
                <c:pt idx="1">
                  <c:v>19.8</c:v>
                </c:pt>
                <c:pt idx="2">
                  <c:v>21.5</c:v>
                </c:pt>
                <c:pt idx="3">
                  <c:v>17</c:v>
                </c:pt>
                <c:pt idx="4">
                  <c:v>33.6</c:v>
                </c:pt>
                <c:pt idx="5">
                  <c:v>20.6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6D-F648-B2D6-9FFFF7FBC2B9}"/>
            </c:ext>
          </c:extLst>
        </c:ser>
        <c:ser>
          <c:idx val="1"/>
          <c:order val="1"/>
          <c:tx>
            <c:strRef>
              <c:f>Example!$D$2</c:f>
              <c:strCache>
                <c:ptCount val="1"/>
                <c:pt idx="0">
                  <c:v>line</c:v>
                </c:pt>
              </c:strCache>
            </c:strRef>
          </c:tx>
          <c:spPr>
            <a:ln w="19050" cap="rnd">
              <a:solidFill>
                <a:srgbClr val="C41EBF"/>
              </a:solidFill>
              <a:round/>
            </a:ln>
            <a:effectLst/>
          </c:spPr>
          <c:marker>
            <c:symbol val="none"/>
          </c:marker>
          <c:xVal>
            <c:numRef>
              <c:f>Example!$B$3:$B$8</c:f>
              <c:numCache>
                <c:formatCode>General</c:formatCode>
                <c:ptCount val="6"/>
                <c:pt idx="0">
                  <c:v>23.1</c:v>
                </c:pt>
                <c:pt idx="1">
                  <c:v>18.7</c:v>
                </c:pt>
                <c:pt idx="2">
                  <c:v>20.6</c:v>
                </c:pt>
                <c:pt idx="3">
                  <c:v>16</c:v>
                </c:pt>
                <c:pt idx="4">
                  <c:v>32.5</c:v>
                </c:pt>
                <c:pt idx="5">
                  <c:v>19.8</c:v>
                </c:pt>
              </c:numCache>
            </c:numRef>
          </c:xVal>
          <c:yVal>
            <c:numRef>
              <c:f>Example!$D$3:$D$8</c:f>
              <c:numCache>
                <c:formatCode>General</c:formatCode>
                <c:ptCount val="6"/>
                <c:pt idx="0">
                  <c:v>24.093542321650609</c:v>
                </c:pt>
                <c:pt idx="1">
                  <c:v>19.659426208792873</c:v>
                </c:pt>
                <c:pt idx="2">
                  <c:v>21.574158166617803</c:v>
                </c:pt>
                <c:pt idx="3">
                  <c:v>16.938491321357443</c:v>
                </c:pt>
                <c:pt idx="4">
                  <c:v>33.566426744573945</c:v>
                </c:pt>
                <c:pt idx="5">
                  <c:v>20.767955237007307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6D-F648-B2D6-9FFFF7FBC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673439"/>
        <c:axId val="195998639"/>
      </c:scatterChart>
      <c:valAx>
        <c:axId val="23267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alpha val="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98639"/>
        <c:crosses val="autoZero"/>
        <c:crossBetween val="midCat"/>
      </c:valAx>
      <c:valAx>
        <c:axId val="19599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673439"/>
        <c:crosses val="autoZero"/>
        <c:crossBetween val="midCat"/>
      </c:valAx>
      <c:spPr>
        <a:solidFill>
          <a:schemeClr val="bg2">
            <a:lumMod val="75000"/>
          </a:schemeClr>
        </a:solidFill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330200</xdr:colOff>
      <xdr:row>2</xdr:row>
      <xdr:rowOff>152400</xdr:rowOff>
    </xdr:from>
    <xdr:to>
      <xdr:col>10</xdr:col>
      <xdr:colOff>406400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66A47A-13DE-4E98-FF57-CEF838778D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4</xdr:row>
      <xdr:rowOff>76200</xdr:rowOff>
    </xdr:from>
    <xdr:to>
      <xdr:col>12</xdr:col>
      <xdr:colOff>190500</xdr:colOff>
      <xdr:row>20</xdr:row>
      <xdr:rowOff>31750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8432133-25F1-4ECD-13B9-040CF578A5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9B69-8071-6C4B-8180-8428C95458B0}">
  <dimension ref="A1:I15"/>
  <sheetViews>
    <sheetView tabSelected="1" zoomScale="130" zoomScaleNormal="130" workbookViewId="0">
      <selection activeCell="M12" sqref="M12"/>
    </sheetView>
  </sheetViews>
  <sheetFormatPr baseColWidth="10" defaultRowHeight="16" x14ac:dyDescent="0.2"/>
  <cols>
    <col min="2" max="2" width="14.33203125" customWidth="1"/>
  </cols>
  <sheetData>
    <row r="1" spans="1:9" x14ac:dyDescent="0.2">
      <c r="A1" t="s">
        <v>8</v>
      </c>
      <c r="B1" t="s">
        <v>9</v>
      </c>
      <c r="C1" t="s">
        <v>10</v>
      </c>
    </row>
    <row r="2" spans="1:9" ht="19" x14ac:dyDescent="0.25">
      <c r="A2">
        <v>0.1</v>
      </c>
      <c r="B2">
        <v>2.0150000000000001</v>
      </c>
      <c r="C2">
        <f>A$15*A2+B$15</f>
        <v>1.5294181818181816</v>
      </c>
      <c r="F2" s="1" t="s">
        <v>11</v>
      </c>
      <c r="G2" s="1"/>
      <c r="H2" s="1"/>
      <c r="I2" s="1"/>
    </row>
    <row r="3" spans="1:9" x14ac:dyDescent="0.2">
      <c r="A3">
        <v>0.2</v>
      </c>
      <c r="B3">
        <v>1.589</v>
      </c>
      <c r="C3">
        <f t="shared" ref="C3:C11" si="0">A$15*A3+B$15</f>
        <v>1.7035696969696967</v>
      </c>
    </row>
    <row r="4" spans="1:9" x14ac:dyDescent="0.2">
      <c r="A4">
        <v>0.3</v>
      </c>
      <c r="B4">
        <v>1.784</v>
      </c>
      <c r="C4">
        <f t="shared" si="0"/>
        <v>1.8777212121212119</v>
      </c>
    </row>
    <row r="5" spans="1:9" x14ac:dyDescent="0.2">
      <c r="A5">
        <v>0.4</v>
      </c>
      <c r="B5">
        <v>1.782</v>
      </c>
      <c r="C5">
        <f t="shared" si="0"/>
        <v>2.0518727272727268</v>
      </c>
    </row>
    <row r="6" spans="1:9" x14ac:dyDescent="0.2">
      <c r="A6">
        <v>0.5</v>
      </c>
      <c r="B6">
        <v>2.7320000000000002</v>
      </c>
      <c r="C6">
        <f t="shared" si="0"/>
        <v>2.2260242424242422</v>
      </c>
    </row>
    <row r="7" spans="1:9" x14ac:dyDescent="0.2">
      <c r="A7">
        <v>0.6</v>
      </c>
      <c r="B7">
        <v>2.0790000000000002</v>
      </c>
      <c r="C7">
        <f t="shared" si="0"/>
        <v>2.4001757575757576</v>
      </c>
    </row>
    <row r="8" spans="1:9" x14ac:dyDescent="0.2">
      <c r="A8">
        <v>0.7</v>
      </c>
      <c r="B8">
        <v>2.0190000000000001</v>
      </c>
      <c r="C8">
        <f t="shared" si="0"/>
        <v>2.5743272727272726</v>
      </c>
    </row>
    <row r="9" spans="1:9" x14ac:dyDescent="0.2">
      <c r="A9">
        <v>0.8</v>
      </c>
      <c r="B9">
        <v>2.3170000000000002</v>
      </c>
      <c r="C9">
        <f t="shared" si="0"/>
        <v>2.7484787878787875</v>
      </c>
    </row>
    <row r="10" spans="1:9" x14ac:dyDescent="0.2">
      <c r="A10">
        <v>0.9</v>
      </c>
      <c r="B10">
        <v>3.028</v>
      </c>
      <c r="C10">
        <f t="shared" si="0"/>
        <v>2.9226303030303029</v>
      </c>
    </row>
    <row r="11" spans="1:9" x14ac:dyDescent="0.2">
      <c r="A11">
        <v>1</v>
      </c>
      <c r="B11">
        <v>3.786</v>
      </c>
      <c r="C11">
        <f t="shared" si="0"/>
        <v>3.0967818181818183</v>
      </c>
    </row>
    <row r="14" spans="1:9" x14ac:dyDescent="0.2">
      <c r="A14" t="s">
        <v>5</v>
      </c>
      <c r="B14" t="s">
        <v>6</v>
      </c>
    </row>
    <row r="15" spans="1:9" x14ac:dyDescent="0.2">
      <c r="A15">
        <f>SLOPE(B1:B11,A1:A11)</f>
        <v>1.7415151515151517</v>
      </c>
      <c r="B15">
        <f>INTERCEPT(B1:B11,A1:A11)</f>
        <v>1.3552666666666664</v>
      </c>
    </row>
  </sheetData>
  <mergeCells count="1">
    <mergeCell ref="F2:I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00816-837C-FA44-A54E-77C17824F8C1}">
  <dimension ref="A1:D12"/>
  <sheetViews>
    <sheetView zoomScale="130" zoomScaleNormal="130" workbookViewId="0">
      <selection activeCell="A13" sqref="A13"/>
    </sheetView>
  </sheetViews>
  <sheetFormatPr baseColWidth="10" defaultRowHeight="16" x14ac:dyDescent="0.2"/>
  <cols>
    <col min="2" max="2" width="14.33203125" customWidth="1"/>
    <col min="3" max="3" width="13.33203125" customWidth="1"/>
  </cols>
  <sheetData>
    <row r="1" spans="1:4" x14ac:dyDescent="0.2">
      <c r="A1" t="s">
        <v>0</v>
      </c>
      <c r="B1" t="s">
        <v>1</v>
      </c>
      <c r="C1" t="s">
        <v>2</v>
      </c>
    </row>
    <row r="2" spans="1:4" x14ac:dyDescent="0.2">
      <c r="B2" t="s">
        <v>3</v>
      </c>
      <c r="C2" t="s">
        <v>4</v>
      </c>
      <c r="D2" t="s">
        <v>7</v>
      </c>
    </row>
    <row r="3" spans="1:4" x14ac:dyDescent="0.2">
      <c r="A3">
        <v>1</v>
      </c>
      <c r="B3">
        <v>23.1</v>
      </c>
      <c r="C3">
        <v>24.1</v>
      </c>
      <c r="D3">
        <f>B$12*B3+C$12</f>
        <v>24.093542321650609</v>
      </c>
    </row>
    <row r="4" spans="1:4" x14ac:dyDescent="0.2">
      <c r="A4">
        <v>2</v>
      </c>
      <c r="B4">
        <v>18.7</v>
      </c>
      <c r="C4">
        <v>19.8</v>
      </c>
      <c r="D4">
        <f>B$12*B4+C$12</f>
        <v>19.659426208792873</v>
      </c>
    </row>
    <row r="5" spans="1:4" x14ac:dyDescent="0.2">
      <c r="A5">
        <v>3</v>
      </c>
      <c r="B5">
        <v>20.6</v>
      </c>
      <c r="C5">
        <v>21.5</v>
      </c>
      <c r="D5">
        <f>B$12*B5+C$12</f>
        <v>21.574158166617803</v>
      </c>
    </row>
    <row r="6" spans="1:4" x14ac:dyDescent="0.2">
      <c r="A6">
        <v>4</v>
      </c>
      <c r="B6">
        <v>16</v>
      </c>
      <c r="C6">
        <v>17</v>
      </c>
      <c r="D6">
        <f>B$12*B6+C$12</f>
        <v>16.938491321357443</v>
      </c>
    </row>
    <row r="7" spans="1:4" x14ac:dyDescent="0.2">
      <c r="A7">
        <v>5</v>
      </c>
      <c r="B7">
        <v>32.5</v>
      </c>
      <c r="C7">
        <v>33.6</v>
      </c>
      <c r="D7">
        <f>B$12*B7+C$12</f>
        <v>33.566426744573945</v>
      </c>
    </row>
    <row r="8" spans="1:4" x14ac:dyDescent="0.2">
      <c r="A8">
        <v>6</v>
      </c>
      <c r="B8">
        <v>19.8</v>
      </c>
      <c r="C8">
        <v>20.6</v>
      </c>
      <c r="D8">
        <f>B$12*B8+C$12</f>
        <v>20.767955237007307</v>
      </c>
    </row>
    <row r="11" spans="1:4" x14ac:dyDescent="0.2">
      <c r="B11" t="s">
        <v>5</v>
      </c>
      <c r="C11" t="s">
        <v>6</v>
      </c>
    </row>
    <row r="12" spans="1:4" x14ac:dyDescent="0.2">
      <c r="B12">
        <f>SLOPE(C3:C8,B3:B8)</f>
        <v>1.0077536620131218</v>
      </c>
      <c r="C12">
        <f>INTERCEPT(C3:C8,B3:B8)</f>
        <v>0.81443272914749443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1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Dipika Jothinathan</dc:creator>
  <cp:lastModifiedBy>Dipika Jothinathan</cp:lastModifiedBy>
  <dcterms:created xsi:type="dcterms:W3CDTF">2023-12-08T21:55:34Z</dcterms:created>
  <dcterms:modified xsi:type="dcterms:W3CDTF">2023-12-08T22:35:47Z</dcterms:modified>
</cp:coreProperties>
</file>