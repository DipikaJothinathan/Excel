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ertising" sheetId="1" r:id="rId4"/>
    <sheet state="visible" name="Service Call" sheetId="2" r:id="rId5"/>
  </sheets>
  <definedNames/>
  <calcPr/>
</workbook>
</file>

<file path=xl/sharedStrings.xml><?xml version="1.0" encoding="utf-8"?>
<sst xmlns="http://schemas.openxmlformats.org/spreadsheetml/2006/main" count="85" uniqueCount="53">
  <si>
    <t>Y</t>
  </si>
  <si>
    <t>X1</t>
  </si>
  <si>
    <t>X2</t>
  </si>
  <si>
    <t>Quantity Sold</t>
  </si>
  <si>
    <t>Unit Price</t>
  </si>
  <si>
    <t>Advertising Expense</t>
  </si>
  <si>
    <t>Prediction Line for quantity sold</t>
  </si>
  <si>
    <t>Yes, we can predict the quantity sold from unit price and advertising expense as correlation coefficient &gt; 0.95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</si>
  <si>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</si>
  <si>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</si>
  <si>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</si>
  <si>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</si>
  <si>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</si>
  <si>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</si>
  <si>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</si>
  <si>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</si>
  <si>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</si>
  <si>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</si>
  <si>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</si>
  <si>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</si>
  <si>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</si>
  <si>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</si>
  <si>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</si>
  <si>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</si>
  <si>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</si>
  <si>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</si>
  <si>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</si>
  <si>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</si>
  <si>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</si>
  <si>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</si>
  <si>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</si>
  <si>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</si>
  <si>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RESIDUAL OUTPUT</t>
  </si>
  <si>
    <t>Observation</t>
  </si>
  <si>
    <t>Predicted Quantity Sold</t>
  </si>
  <si>
    <t>Residuals</t>
  </si>
  <si>
    <t>Year</t>
  </si>
  <si>
    <t>Service Calls</t>
  </si>
  <si>
    <t>Cost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</si>
  <si>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</si>
  <si>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</si>
  <si>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</si>
  <si>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</si>
  <si>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</si>
  <si>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</si>
  <si>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</si>
  <si>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</si>
  <si>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</si>
  <si>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</si>
  <si>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</si>
  <si>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</si>
  <si>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cost = 19.08124648*service calls + 13720.25928</t>
  </si>
  <si>
    <t>Predicted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</si>
</sst>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??_);_(@_)"/>
    <numFmt numFmtId="165" formatCode="_(&quot;$&quot;* #,##0_);_(&quot;$&quot;* \(#,##0\);_(&quot;$&quot;* &quot;-&quot;??_);_(@_)"/>
  </numFmts>
  <fonts count="8">
    <font>
      <sz val="12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2.0"/>
      <color theme="1"/>
      <name val="Calibri"/>
    </font>
    <font/>
    <font>
      <i/>
      <sz val="11.0"/>
      <color theme="1"/>
      <name val="Calibri"/>
    </font>
    <font>
      <sz val="12.0"/>
      <color theme="1"/>
      <name val="Calibri"/>
    </font>
    <font>
      <i/>
      <sz val="1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D9E2F3"/>
        <bgColor rgb="FFD9E2F3"/>
      </patternFill>
    </fill>
    <fill>
      <patternFill patternType="solid">
        <fgColor rgb="FFA8D08D"/>
        <bgColor rgb="FFA8D08D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</fills>
  <borders count="7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0" fillId="0" fontId="1" numFmtId="0" xfId="0" applyAlignment="1" applyFont="1">
      <alignment horizontal="center" vertical="top"/>
    </xf>
    <xf borderId="0" fillId="0" fontId="1" numFmtId="0" xfId="0" applyFont="1"/>
    <xf borderId="1" fillId="2" fontId="2" numFmtId="0" xfId="0" applyAlignment="1" applyBorder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1" fillId="3" fontId="2" numFmtId="0" xfId="0" applyAlignment="1" applyBorder="1" applyFill="1" applyFont="1">
      <alignment horizontal="center" shrinkToFit="0" vertical="top" wrapText="1"/>
    </xf>
    <xf borderId="2" fillId="4" fontId="3" numFmtId="0" xfId="0" applyAlignment="1" applyBorder="1" applyFill="1" applyFont="1">
      <alignment horizontal="center" shrinkToFit="0" wrapText="1"/>
    </xf>
    <xf borderId="3" fillId="0" fontId="4" numFmtId="0" xfId="0" applyBorder="1" applyFont="1"/>
    <xf borderId="4" fillId="0" fontId="4" numFmtId="0" xfId="0" applyBorder="1" applyFont="1"/>
    <xf borderId="1" fillId="2" fontId="1" numFmtId="164" xfId="0" applyAlignment="1" applyBorder="1" applyFont="1" applyNumberFormat="1">
      <alignment vertical="top"/>
    </xf>
    <xf borderId="0" fillId="0" fontId="1" numFmtId="165" xfId="0" applyAlignment="1" applyFont="1" applyNumberFormat="1">
      <alignment vertical="top"/>
    </xf>
    <xf borderId="1" fillId="3" fontId="1" numFmtId="37" xfId="0" applyBorder="1" applyFont="1" applyNumberFormat="1"/>
    <xf borderId="5" fillId="0" fontId="5" numFmtId="0" xfId="0" applyAlignment="1" applyBorder="1" applyFont="1">
      <alignment horizontal="center"/>
    </xf>
    <xf borderId="5" fillId="0" fontId="4" numFmtId="0" xfId="0" applyBorder="1" applyFont="1"/>
    <xf borderId="1" fillId="4" fontId="1" numFmtId="0" xfId="0" applyBorder="1" applyFont="1"/>
    <xf borderId="6" fillId="0" fontId="1" numFmtId="0" xfId="0" applyBorder="1" applyFont="1"/>
    <xf borderId="0" fillId="0" fontId="3" numFmtId="0" xfId="0" applyAlignment="1" applyFont="1">
      <alignment horizontal="left" vertical="top"/>
    </xf>
    <xf borderId="1" fillId="2" fontId="3" numFmtId="0" xfId="0" applyAlignment="1" applyBorder="1" applyFont="1">
      <alignment horizontal="left" vertical="top"/>
    </xf>
    <xf borderId="0" fillId="0" fontId="6" numFmtId="0" xfId="0" applyFont="1"/>
    <xf borderId="0" fillId="0" fontId="6" numFmtId="0" xfId="0" applyAlignment="1" applyFont="1">
      <alignment horizontal="left" vertical="top"/>
    </xf>
    <xf borderId="0" fillId="0" fontId="6" numFmtId="164" xfId="0" applyAlignment="1" applyFont="1" applyNumberFormat="1">
      <alignment horizontal="left" vertical="top"/>
    </xf>
    <xf borderId="1" fillId="2" fontId="6" numFmtId="165" xfId="0" applyAlignment="1" applyBorder="1" applyFont="1" applyNumberFormat="1">
      <alignment horizontal="left" vertical="top"/>
    </xf>
    <xf borderId="5" fillId="0" fontId="7" numFmtId="0" xfId="0" applyAlignment="1" applyBorder="1" applyFont="1">
      <alignment horizontal="center"/>
    </xf>
    <xf borderId="1" fillId="4" fontId="6" numFmtId="0" xfId="0" applyBorder="1" applyFont="1"/>
    <xf borderId="6" fillId="0" fontId="6" numFmtId="0" xfId="0" applyBorder="1" applyFont="1"/>
    <xf borderId="0" fillId="0" fontId="6" numFmtId="16" xfId="0" applyAlignment="1" applyFont="1" applyNumberFormat="1">
      <alignment horizontal="left" vertical="top"/>
    </xf>
    <xf borderId="1" fillId="5" fontId="6" numFmtId="165" xfId="0" applyAlignment="1" applyBorder="1" applyFill="1" applyFont="1" applyNumberFormat="1">
      <alignment horizontal="left" vertical="top"/>
    </xf>
    <xf borderId="2" fillId="6" fontId="3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Unit Price Line Fit  Plot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Quantity Sold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Advertising!$B$3:$B$9</c:f>
            </c:numRef>
          </c:xVal>
          <c:yVal>
            <c:numRef>
              <c:f>Advertising!$A$3:$A$9</c:f>
              <c:numCache/>
            </c:numRef>
          </c:yVal>
        </c:ser>
        <c:ser>
          <c:idx val="1"/>
          <c:order val="1"/>
          <c:tx>
            <c:v>Predicted Quantity Sold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Advertising!$B$3:$B$9</c:f>
            </c:numRef>
          </c:xVal>
          <c:yVal>
            <c:numRef>
              <c:f>Advertising!$G$28:$G$34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7365477"/>
        <c:axId val="1377631173"/>
      </c:scatterChart>
      <c:valAx>
        <c:axId val="11973654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Unit 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7631173"/>
      </c:valAx>
      <c:valAx>
        <c:axId val="137763117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Quantity Sold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73654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Advertising Expense Line Fit  Plot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Quantity Sold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Advertising!$C$3:$C$9</c:f>
            </c:numRef>
          </c:xVal>
          <c:yVal>
            <c:numRef>
              <c:f>Advertising!$A$3:$A$9</c:f>
              <c:numCache/>
            </c:numRef>
          </c:yVal>
        </c:ser>
        <c:ser>
          <c:idx val="1"/>
          <c:order val="1"/>
          <c:tx>
            <c:v>Predicted Quantity Sold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Advertising!$C$3:$C$9</c:f>
            </c:numRef>
          </c:xVal>
          <c:yVal>
            <c:numRef>
              <c:f>Advertising!$G$28:$G$34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818223"/>
        <c:axId val="1596720780"/>
      </c:scatterChart>
      <c:valAx>
        <c:axId val="2086818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Advertising Expense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6720780"/>
      </c:valAx>
      <c:valAx>
        <c:axId val="15967207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Quantity Sold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68182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Service Calls Line Fit  Plot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Cost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'Service Call'!$B$2:$B$13</c:f>
            </c:numRef>
          </c:xVal>
          <c:yVal>
            <c:numRef>
              <c:f>'Service Call'!$C$2:$C$13</c:f>
              <c:numCache/>
            </c:numRef>
          </c:yVal>
        </c:ser>
        <c:ser>
          <c:idx val="1"/>
          <c:order val="1"/>
          <c:tx>
            <c:v>Predicted Cost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'Service Call'!$B$2:$B$13</c:f>
            </c:numRef>
          </c:xVal>
          <c:yVal>
            <c:numRef>
              <c:f>'Service Call'!$G$25:$G$36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2363827"/>
        <c:axId val="552797244"/>
      </c:scatterChart>
      <c:valAx>
        <c:axId val="3623638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Service Calls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2797244"/>
      </c:valAx>
      <c:valAx>
        <c:axId val="5527972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Cost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23638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276225</xdr:colOff>
      <xdr:row>3</xdr:row>
      <xdr:rowOff>57150</xdr:rowOff>
    </xdr:from>
    <xdr:ext cx="5429250" cy="20002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314325</xdr:colOff>
      <xdr:row>14</xdr:row>
      <xdr:rowOff>95250</xdr:rowOff>
    </xdr:from>
    <xdr:ext cx="5429250" cy="19907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276225</xdr:colOff>
      <xdr:row>1</xdr:row>
      <xdr:rowOff>57150</xdr:rowOff>
    </xdr:from>
    <xdr:ext cx="5591175" cy="25241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5.0"/>
    <col customWidth="1" min="3" max="3" width="10.11"/>
    <col customWidth="1" min="4" max="4" width="14.44"/>
    <col customWidth="1" min="5" max="14" width="10.78"/>
    <col customWidth="1" min="15" max="26" width="10.56"/>
  </cols>
  <sheetData>
    <row r="1" ht="15.75" customHeight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4.5" customHeight="1">
      <c r="A2" s="4" t="s">
        <v>3</v>
      </c>
      <c r="B2" s="5" t="s">
        <v>4</v>
      </c>
      <c r="C2" s="5" t="s">
        <v>5</v>
      </c>
      <c r="D2" s="6" t="s">
        <v>6</v>
      </c>
      <c r="E2" s="3"/>
      <c r="F2" s="3"/>
      <c r="G2" s="3"/>
      <c r="H2" s="7" t="s">
        <v>7</v>
      </c>
      <c r="I2" s="8"/>
      <c r="J2" s="8"/>
      <c r="K2" s="8"/>
      <c r="L2" s="8"/>
      <c r="M2" s="9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10">
        <v>8500.0</v>
      </c>
      <c r="B3" s="11">
        <v>2.0</v>
      </c>
      <c r="C3" s="11">
        <v>2800.0</v>
      </c>
      <c r="D3" s="12">
        <f t="shared" ref="D3:D9" si="1">G$20*B3+G$21*C3+G$19</f>
        <v>8523.008967</v>
      </c>
      <c r="E3" s="3"/>
      <c r="F3" s="3" t="s">
        <v>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10">
        <v>4700.0</v>
      </c>
      <c r="B4" s="11">
        <v>5.0</v>
      </c>
      <c r="C4" s="11">
        <v>200.0</v>
      </c>
      <c r="D4" s="12">
        <f t="shared" si="1"/>
        <v>4476.047825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0">
        <v>5800.0</v>
      </c>
      <c r="B5" s="11">
        <v>3.0</v>
      </c>
      <c r="C5" s="11">
        <v>400.0</v>
      </c>
      <c r="D5" s="12">
        <f t="shared" si="1"/>
        <v>6265.938227</v>
      </c>
      <c r="E5" s="3"/>
      <c r="F5" s="13" t="s">
        <v>9</v>
      </c>
      <c r="G5" s="1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0">
        <v>7400.0</v>
      </c>
      <c r="B6" s="11">
        <v>2.0</v>
      </c>
      <c r="C6" s="11">
        <v>500.0</v>
      </c>
      <c r="D6" s="12">
        <f t="shared" si="1"/>
        <v>7160.883427</v>
      </c>
      <c r="E6" s="3"/>
      <c r="F6" s="3" t="s">
        <v>10</v>
      </c>
      <c r="G6" s="3">
        <v>0.9806814305770989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0">
        <v>6200.0</v>
      </c>
      <c r="B7" s="11">
        <v>5.0</v>
      </c>
      <c r="C7" s="11">
        <v>3200.0</v>
      </c>
      <c r="D7" s="12">
        <f t="shared" si="1"/>
        <v>6252.733311</v>
      </c>
      <c r="E7" s="3"/>
      <c r="F7" s="3" t="s">
        <v>11</v>
      </c>
      <c r="G7" s="15">
        <v>0.9617360682787451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0">
        <v>7300.0</v>
      </c>
      <c r="B8" s="11">
        <v>3.0</v>
      </c>
      <c r="C8" s="11">
        <v>1800.0</v>
      </c>
      <c r="D8" s="12">
        <f t="shared" si="1"/>
        <v>7095.05812</v>
      </c>
      <c r="E8" s="3"/>
      <c r="F8" s="3" t="s">
        <v>12</v>
      </c>
      <c r="G8" s="3">
        <v>0.9426041024181178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0">
        <v>5600.0</v>
      </c>
      <c r="B9" s="11">
        <v>4.0</v>
      </c>
      <c r="C9" s="11">
        <v>900.0</v>
      </c>
      <c r="D9" s="12">
        <f t="shared" si="1"/>
        <v>5726.330123</v>
      </c>
      <c r="E9" s="3"/>
      <c r="F9" s="3" t="s">
        <v>13</v>
      </c>
      <c r="G9" s="3">
        <v>310.52392490364105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16" t="s">
        <v>14</v>
      </c>
      <c r="G10" s="16">
        <v>7.0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 t="s">
        <v>15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"/>
      <c r="D13" s="3"/>
      <c r="E13" s="3"/>
      <c r="F13" s="13"/>
      <c r="G13" s="13" t="s">
        <v>16</v>
      </c>
      <c r="H13" s="13" t="s">
        <v>17</v>
      </c>
      <c r="I13" s="13" t="s">
        <v>18</v>
      </c>
      <c r="J13" s="13" t="s">
        <v>19</v>
      </c>
      <c r="K13" s="13" t="s">
        <v>20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"/>
      <c r="D14" s="3"/>
      <c r="E14" s="3"/>
      <c r="F14" s="3" t="s">
        <v>21</v>
      </c>
      <c r="G14" s="3">
        <v>2.0</v>
      </c>
      <c r="H14" s="3">
        <v>9694299.56824975</v>
      </c>
      <c r="I14" s="3">
        <v>4847149.784124875</v>
      </c>
      <c r="J14" s="3">
        <v>50.268544031742614</v>
      </c>
      <c r="K14" s="3">
        <v>0.00146412847076885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"/>
      <c r="D15" s="3"/>
      <c r="E15" s="3"/>
      <c r="F15" s="3" t="s">
        <v>22</v>
      </c>
      <c r="G15" s="3">
        <v>4.0</v>
      </c>
      <c r="H15" s="3">
        <v>385700.4317502485</v>
      </c>
      <c r="I15" s="3">
        <v>96425.10793756212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16" t="s">
        <v>23</v>
      </c>
      <c r="G16" s="16">
        <v>6.0</v>
      </c>
      <c r="H16" s="16">
        <v>1.008E7</v>
      </c>
      <c r="I16" s="16"/>
      <c r="J16" s="16"/>
      <c r="K16" s="16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13"/>
      <c r="G18" s="13" t="s">
        <v>24</v>
      </c>
      <c r="H18" s="13" t="s">
        <v>13</v>
      </c>
      <c r="I18" s="13" t="s">
        <v>25</v>
      </c>
      <c r="J18" s="13" t="s">
        <v>26</v>
      </c>
      <c r="K18" s="13" t="s">
        <v>27</v>
      </c>
      <c r="L18" s="13" t="s">
        <v>28</v>
      </c>
      <c r="M18" s="13" t="s">
        <v>29</v>
      </c>
      <c r="N18" s="13" t="s">
        <v>30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 t="s">
        <v>31</v>
      </c>
      <c r="G19" s="3">
        <v>8536.213882431086</v>
      </c>
      <c r="H19" s="3">
        <v>386.91174784357685</v>
      </c>
      <c r="I19" s="3">
        <v>22.06243136841159</v>
      </c>
      <c r="J19" s="3">
        <v>2.4981174336364867E-5</v>
      </c>
      <c r="K19" s="3">
        <v>7461.974653987264</v>
      </c>
      <c r="L19" s="3">
        <v>9610.453110874907</v>
      </c>
      <c r="M19" s="3">
        <v>7461.974653987264</v>
      </c>
      <c r="N19" s="3">
        <v>9610.453110874907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 t="s">
        <v>4</v>
      </c>
      <c r="G20" s="3">
        <v>-835.7223513782798</v>
      </c>
      <c r="H20" s="3">
        <v>99.6530446916676</v>
      </c>
      <c r="I20" s="3">
        <v>-8.386320297227787</v>
      </c>
      <c r="J20" s="3">
        <v>0.0011060639246037785</v>
      </c>
      <c r="K20" s="3">
        <v>-1112.4035595305172</v>
      </c>
      <c r="L20" s="3">
        <v>-559.0411432260423</v>
      </c>
      <c r="M20" s="3">
        <v>-1112.4035595305172</v>
      </c>
      <c r="N20" s="3">
        <v>-559.0411432260423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16" t="s">
        <v>5</v>
      </c>
      <c r="G21" s="16">
        <v>0.5922284955164397</v>
      </c>
      <c r="H21" s="16">
        <v>0.10434680300246535</v>
      </c>
      <c r="I21" s="16">
        <v>5.675578728583064</v>
      </c>
      <c r="J21" s="16">
        <v>0.0047553093865151325</v>
      </c>
      <c r="K21" s="16">
        <v>0.3025153250772064</v>
      </c>
      <c r="L21" s="16">
        <v>0.8819416659556731</v>
      </c>
      <c r="M21" s="16">
        <v>0.3025153250772064</v>
      </c>
      <c r="N21" s="16">
        <v>0.8819416659556731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 t="s">
        <v>32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13" t="s">
        <v>33</v>
      </c>
      <c r="G27" s="13" t="s">
        <v>34</v>
      </c>
      <c r="H27" s="13" t="s">
        <v>35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>
        <v>1.0</v>
      </c>
      <c r="G28" s="3">
        <v>8523.008967120557</v>
      </c>
      <c r="H28" s="3">
        <v>-23.008967120556918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>
        <v>2.0</v>
      </c>
      <c r="G29" s="3">
        <v>4476.047824642975</v>
      </c>
      <c r="H29" s="3">
        <v>223.95217535702523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>
        <v>3.0</v>
      </c>
      <c r="G30" s="3">
        <v>6265.9382265028225</v>
      </c>
      <c r="H30" s="3">
        <v>-465.93822650282254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>
        <v>4.0</v>
      </c>
      <c r="G31" s="3">
        <v>7160.883427432746</v>
      </c>
      <c r="H31" s="3">
        <v>239.11657256725357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>
        <v>5.0</v>
      </c>
      <c r="G32" s="3">
        <v>6252.733311192294</v>
      </c>
      <c r="H32" s="3">
        <v>-52.73331119229442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>
        <v>6.0</v>
      </c>
      <c r="G33" s="3">
        <v>7095.058120225838</v>
      </c>
      <c r="H33" s="3">
        <v>204.94187977416186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16">
        <v>7.0</v>
      </c>
      <c r="G34" s="16">
        <v>5726.330122882763</v>
      </c>
      <c r="H34" s="16">
        <v>-126.33012288276313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H2:M2"/>
    <mergeCell ref="F5:G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4" width="10.78"/>
    <col customWidth="1" min="15" max="26" width="10.56"/>
  </cols>
  <sheetData>
    <row r="1" ht="15.75" customHeight="1">
      <c r="A1" s="17" t="s">
        <v>36</v>
      </c>
      <c r="B1" s="17" t="s">
        <v>37</v>
      </c>
      <c r="C1" s="18" t="s">
        <v>38</v>
      </c>
      <c r="D1" s="19"/>
      <c r="E1" s="19"/>
      <c r="F1" s="19" t="s">
        <v>8</v>
      </c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5.75" customHeight="1">
      <c r="A2" s="20" t="s">
        <v>39</v>
      </c>
      <c r="B2" s="21">
        <v>1040.0</v>
      </c>
      <c r="C2" s="22">
        <v>33600.0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5.75" customHeight="1">
      <c r="A3" s="20" t="s">
        <v>40</v>
      </c>
      <c r="B3" s="21">
        <v>1200.0</v>
      </c>
      <c r="C3" s="22">
        <v>36300.0</v>
      </c>
      <c r="D3" s="19"/>
      <c r="E3" s="19"/>
      <c r="F3" s="23" t="s">
        <v>9</v>
      </c>
      <c r="G3" s="14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5.75" customHeight="1">
      <c r="A4" s="20" t="s">
        <v>41</v>
      </c>
      <c r="B4" s="21">
        <v>1260.0</v>
      </c>
      <c r="C4" s="22">
        <v>37800.0</v>
      </c>
      <c r="D4" s="19"/>
      <c r="E4" s="19"/>
      <c r="F4" s="19" t="s">
        <v>10</v>
      </c>
      <c r="G4" s="19">
        <v>0.9754345418531173</v>
      </c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5.75" customHeight="1">
      <c r="A5" s="20" t="s">
        <v>42</v>
      </c>
      <c r="B5" s="21">
        <v>1100.0</v>
      </c>
      <c r="C5" s="22">
        <v>35500.0</v>
      </c>
      <c r="D5" s="19"/>
      <c r="E5" s="19"/>
      <c r="F5" s="19" t="s">
        <v>11</v>
      </c>
      <c r="G5" s="24">
        <v>0.9514725454402009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5.75" customHeight="1">
      <c r="A6" s="20" t="s">
        <v>43</v>
      </c>
      <c r="B6" s="21">
        <v>1220.0</v>
      </c>
      <c r="C6" s="22">
        <v>36600.0</v>
      </c>
      <c r="D6" s="19"/>
      <c r="E6" s="19"/>
      <c r="F6" s="19" t="s">
        <v>12</v>
      </c>
      <c r="G6" s="19">
        <v>0.946619799984221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5.75" customHeight="1">
      <c r="A7" s="20" t="s">
        <v>44</v>
      </c>
      <c r="B7" s="21">
        <v>1010.0</v>
      </c>
      <c r="C7" s="22">
        <v>32900.0</v>
      </c>
      <c r="D7" s="19"/>
      <c r="E7" s="19"/>
      <c r="F7" s="19" t="s">
        <v>13</v>
      </c>
      <c r="G7" s="19">
        <v>438.38436550639494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5.75" customHeight="1">
      <c r="A8" s="20" t="s">
        <v>45</v>
      </c>
      <c r="B8" s="21">
        <v>1190.0</v>
      </c>
      <c r="C8" s="22">
        <v>36200.0</v>
      </c>
      <c r="D8" s="19"/>
      <c r="E8" s="19"/>
      <c r="F8" s="25" t="s">
        <v>14</v>
      </c>
      <c r="G8" s="25">
        <v>12.0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5.75" customHeight="1">
      <c r="A9" s="20" t="s">
        <v>46</v>
      </c>
      <c r="B9" s="21">
        <v>1050.0</v>
      </c>
      <c r="C9" s="22">
        <v>33400.0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5.75" customHeight="1">
      <c r="A10" s="20" t="s">
        <v>47</v>
      </c>
      <c r="B10" s="21">
        <v>1210.0</v>
      </c>
      <c r="C10" s="22">
        <v>37700.0</v>
      </c>
      <c r="D10" s="19"/>
      <c r="E10" s="19"/>
      <c r="F10" s="19" t="s">
        <v>15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5.75" customHeight="1">
      <c r="A11" s="20" t="s">
        <v>48</v>
      </c>
      <c r="B11" s="21">
        <v>1250.0</v>
      </c>
      <c r="C11" s="22">
        <v>37400.0</v>
      </c>
      <c r="D11" s="19"/>
      <c r="E11" s="19"/>
      <c r="F11" s="23"/>
      <c r="G11" s="23" t="s">
        <v>16</v>
      </c>
      <c r="H11" s="23" t="s">
        <v>17</v>
      </c>
      <c r="I11" s="23" t="s">
        <v>18</v>
      </c>
      <c r="J11" s="23" t="s">
        <v>19</v>
      </c>
      <c r="K11" s="23" t="s">
        <v>20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5.75" customHeight="1">
      <c r="A12" s="20" t="s">
        <v>49</v>
      </c>
      <c r="B12" s="21">
        <v>1060.0</v>
      </c>
      <c r="C12" s="22">
        <v>33800.0</v>
      </c>
      <c r="D12" s="19"/>
      <c r="E12" s="19"/>
      <c r="F12" s="19" t="s">
        <v>21</v>
      </c>
      <c r="G12" s="19">
        <v>1.0</v>
      </c>
      <c r="H12" s="19">
        <v>3.7680691480795555E7</v>
      </c>
      <c r="I12" s="19">
        <v>3.7680691480795555E7</v>
      </c>
      <c r="J12" s="19">
        <v>196.06891687832626</v>
      </c>
      <c r="K12" s="19">
        <v>6.760988216256523E-8</v>
      </c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5.75" customHeight="1">
      <c r="A13" s="20" t="s">
        <v>50</v>
      </c>
      <c r="B13" s="21">
        <v>1280.0</v>
      </c>
      <c r="C13" s="22">
        <v>38100.0</v>
      </c>
      <c r="D13" s="19"/>
      <c r="E13" s="19"/>
      <c r="F13" s="19" t="s">
        <v>22</v>
      </c>
      <c r="G13" s="19">
        <v>10.0</v>
      </c>
      <c r="H13" s="19">
        <v>1921808.5192044447</v>
      </c>
      <c r="I13" s="19">
        <v>192180.85192044446</v>
      </c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5.75" customHeight="1">
      <c r="A14" s="26">
        <v>42736.0</v>
      </c>
      <c r="B14" s="21">
        <v>1140.0</v>
      </c>
      <c r="C14" s="27">
        <f>19.08124648*B14+ 13720.25928</f>
        <v>35472.88027</v>
      </c>
      <c r="D14" s="19"/>
      <c r="E14" s="19"/>
      <c r="F14" s="25" t="s">
        <v>23</v>
      </c>
      <c r="G14" s="25">
        <v>11.0</v>
      </c>
      <c r="H14" s="25">
        <v>3.96025E7</v>
      </c>
      <c r="I14" s="25"/>
      <c r="J14" s="25"/>
      <c r="K14" s="25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5.75" customHeight="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5.75" customHeight="1">
      <c r="A16" s="28" t="s">
        <v>51</v>
      </c>
      <c r="B16" s="8"/>
      <c r="C16" s="8"/>
      <c r="D16" s="9"/>
      <c r="E16" s="19"/>
      <c r="F16" s="23"/>
      <c r="G16" s="23" t="s">
        <v>24</v>
      </c>
      <c r="H16" s="23" t="s">
        <v>13</v>
      </c>
      <c r="I16" s="23" t="s">
        <v>25</v>
      </c>
      <c r="J16" s="23" t="s">
        <v>26</v>
      </c>
      <c r="K16" s="23" t="s">
        <v>27</v>
      </c>
      <c r="L16" s="23" t="s">
        <v>28</v>
      </c>
      <c r="M16" s="23" t="s">
        <v>29</v>
      </c>
      <c r="N16" s="23" t="s">
        <v>30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5.75" customHeight="1">
      <c r="A17" s="19"/>
      <c r="B17" s="19"/>
      <c r="C17" s="19"/>
      <c r="D17" s="19"/>
      <c r="E17" s="19"/>
      <c r="F17" s="19" t="s">
        <v>31</v>
      </c>
      <c r="G17" s="19">
        <v>13720.2592801353</v>
      </c>
      <c r="H17" s="19">
        <v>1580.1375098405126</v>
      </c>
      <c r="I17" s="19">
        <v>8.682952714362244</v>
      </c>
      <c r="J17" s="19">
        <v>5.705886372791879E-6</v>
      </c>
      <c r="K17" s="19">
        <v>10199.493502978787</v>
      </c>
      <c r="L17" s="19">
        <v>17241.025057291765</v>
      </c>
      <c r="M17" s="19">
        <v>10199.493502978787</v>
      </c>
      <c r="N17" s="19">
        <v>17241.025057291765</v>
      </c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5.75" customHeight="1">
      <c r="A18" s="19"/>
      <c r="B18" s="19"/>
      <c r="C18" s="19"/>
      <c r="D18" s="19"/>
      <c r="E18" s="19"/>
      <c r="F18" s="25" t="s">
        <v>37</v>
      </c>
      <c r="G18" s="25">
        <v>19.081246477172076</v>
      </c>
      <c r="H18" s="25">
        <v>1.3627066227761198</v>
      </c>
      <c r="I18" s="25">
        <v>14.002461100761048</v>
      </c>
      <c r="J18" s="25">
        <v>6.76098821625651E-8</v>
      </c>
      <c r="K18" s="25">
        <v>16.0449469071056</v>
      </c>
      <c r="L18" s="25">
        <v>22.11754604723855</v>
      </c>
      <c r="M18" s="25">
        <v>16.0449469071056</v>
      </c>
      <c r="N18" s="25">
        <v>22.11754604723855</v>
      </c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5.75" customHeight="1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5.7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19"/>
      <c r="B22" s="19"/>
      <c r="C22" s="19"/>
      <c r="D22" s="19"/>
      <c r="E22" s="19"/>
      <c r="F22" s="19" t="s">
        <v>32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19"/>
      <c r="B24" s="19"/>
      <c r="C24" s="19"/>
      <c r="D24" s="19"/>
      <c r="E24" s="19"/>
      <c r="F24" s="23" t="s">
        <v>33</v>
      </c>
      <c r="G24" s="23" t="s">
        <v>52</v>
      </c>
      <c r="H24" s="23" t="s">
        <v>35</v>
      </c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19"/>
      <c r="B25" s="19"/>
      <c r="C25" s="19"/>
      <c r="D25" s="19"/>
      <c r="E25" s="19"/>
      <c r="F25" s="19">
        <v>1.0</v>
      </c>
      <c r="G25" s="19">
        <v>33564.755616394235</v>
      </c>
      <c r="H25" s="19">
        <v>35.2443836057646</v>
      </c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19"/>
      <c r="B26" s="19"/>
      <c r="C26" s="19"/>
      <c r="D26" s="19"/>
      <c r="E26" s="19"/>
      <c r="F26" s="19">
        <v>2.0</v>
      </c>
      <c r="G26" s="19">
        <v>36617.75505274177</v>
      </c>
      <c r="H26" s="19">
        <v>-317.75505274176976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9"/>
      <c r="B27" s="19"/>
      <c r="C27" s="19"/>
      <c r="D27" s="19"/>
      <c r="E27" s="19"/>
      <c r="F27" s="19">
        <v>3.0</v>
      </c>
      <c r="G27" s="19">
        <v>37762.629841372094</v>
      </c>
      <c r="H27" s="19">
        <v>37.37015862790577</v>
      </c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9"/>
      <c r="B28" s="19"/>
      <c r="C28" s="19"/>
      <c r="D28" s="19"/>
      <c r="E28" s="19"/>
      <c r="F28" s="19">
        <v>4.0</v>
      </c>
      <c r="G28" s="19">
        <v>34709.63040502456</v>
      </c>
      <c r="H28" s="19">
        <v>790.3695949754401</v>
      </c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19"/>
      <c r="B29" s="19"/>
      <c r="C29" s="19"/>
      <c r="D29" s="19"/>
      <c r="E29" s="19"/>
      <c r="F29" s="19">
        <v>5.0</v>
      </c>
      <c r="G29" s="19">
        <v>36999.37998228521</v>
      </c>
      <c r="H29" s="19">
        <v>-399.3799822852088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19"/>
      <c r="B30" s="19"/>
      <c r="C30" s="19"/>
      <c r="D30" s="19"/>
      <c r="E30" s="19"/>
      <c r="F30" s="19">
        <v>6.0</v>
      </c>
      <c r="G30" s="19">
        <v>32992.31822207908</v>
      </c>
      <c r="H30" s="19">
        <v>-92.3182220790768</v>
      </c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19"/>
      <c r="B31" s="19"/>
      <c r="C31" s="19"/>
      <c r="D31" s="19"/>
      <c r="E31" s="19"/>
      <c r="F31" s="19">
        <v>7.0</v>
      </c>
      <c r="G31" s="19">
        <v>36426.94258797004</v>
      </c>
      <c r="H31" s="19">
        <v>-226.94258797004295</v>
      </c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19"/>
      <c r="B32" s="19"/>
      <c r="C32" s="19"/>
      <c r="D32" s="19"/>
      <c r="E32" s="19"/>
      <c r="F32" s="19">
        <v>8.0</v>
      </c>
      <c r="G32" s="19">
        <v>33755.568081165955</v>
      </c>
      <c r="H32" s="19">
        <v>-355.56808116595494</v>
      </c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19"/>
      <c r="B33" s="19"/>
      <c r="C33" s="19"/>
      <c r="D33" s="19"/>
      <c r="E33" s="19"/>
      <c r="F33" s="19">
        <v>9.0</v>
      </c>
      <c r="G33" s="19">
        <v>36808.56751751349</v>
      </c>
      <c r="H33" s="19">
        <v>891.4324824865107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19"/>
      <c r="B34" s="19"/>
      <c r="C34" s="19"/>
      <c r="D34" s="19"/>
      <c r="E34" s="19"/>
      <c r="F34" s="19">
        <v>10.0</v>
      </c>
      <c r="G34" s="19">
        <v>37571.817376600375</v>
      </c>
      <c r="H34" s="19">
        <v>-171.8173766003747</v>
      </c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19"/>
      <c r="B35" s="19"/>
      <c r="C35" s="19"/>
      <c r="D35" s="19"/>
      <c r="E35" s="19"/>
      <c r="F35" s="19">
        <v>11.0</v>
      </c>
      <c r="G35" s="19">
        <v>33946.380545937674</v>
      </c>
      <c r="H35" s="19">
        <v>-146.38054593767447</v>
      </c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19"/>
      <c r="B36" s="19"/>
      <c r="C36" s="19"/>
      <c r="D36" s="19"/>
      <c r="E36" s="19"/>
      <c r="F36" s="25">
        <v>12.0</v>
      </c>
      <c r="G36" s="25">
        <v>38144.25477091553</v>
      </c>
      <c r="H36" s="25">
        <v>-44.2547709155333</v>
      </c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2">
    <mergeCell ref="F3:G3"/>
    <mergeCell ref="A16:D16"/>
  </mergeCells>
  <printOptions/>
  <pageMargins bottom="0.75" footer="0.0" header="0.0" left="0.7" right="0.7" top="0.75"/>
  <pageSetup orientation="landscape"/>
  <drawing r:id="rId1"/>
</worksheet>
</file>