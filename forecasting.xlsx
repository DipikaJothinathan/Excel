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pika/Desktop/Dipika/IT_Experts_Inc/Excel/"/>
    </mc:Choice>
  </mc:AlternateContent>
  <xr:revisionPtr revIDLastSave="0" documentId="13_ncr:1_{ED513728-0BE2-0F44-90B3-32010FFB2936}" xr6:coauthVersionLast="47" xr6:coauthVersionMax="47" xr10:uidLastSave="{00000000-0000-0000-0000-000000000000}"/>
  <bookViews>
    <workbookView xWindow="0" yWindow="0" windowWidth="28800" windowHeight="18000" xr2:uid="{DBFA3986-B3D7-DD45-B4C0-A980B6FF831E}"/>
  </bookViews>
  <sheets>
    <sheet name="Ski Lodge Visitors" sheetId="2" r:id="rId1"/>
    <sheet name="Lawn expenses" sheetId="1" r:id="rId2"/>
    <sheet name="Ski Regression" sheetId="4" r:id="rId3"/>
    <sheet name="Lawn Regression" sheetId="6" r:id="rId4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8" i="1" l="1"/>
  <c r="J39" i="1"/>
  <c r="J40" i="1"/>
  <c r="J41" i="1"/>
  <c r="J42" i="1"/>
  <c r="J43" i="1"/>
  <c r="J44" i="1"/>
  <c r="J45" i="1"/>
  <c r="J46" i="1"/>
  <c r="J47" i="1"/>
  <c r="J48" i="1"/>
  <c r="J49" i="1"/>
  <c r="I49" i="1"/>
  <c r="I44" i="1"/>
  <c r="I45" i="1"/>
  <c r="I46" i="1"/>
  <c r="I47" i="1"/>
  <c r="I48" i="1"/>
  <c r="I43" i="1"/>
  <c r="I42" i="1"/>
  <c r="I41" i="1"/>
  <c r="I40" i="1"/>
  <c r="I39" i="1"/>
  <c r="I38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2" i="1"/>
  <c r="H7" i="1"/>
  <c r="H6" i="1"/>
  <c r="H5" i="1"/>
  <c r="H4" i="1"/>
  <c r="H3" i="1"/>
  <c r="H2" i="1"/>
  <c r="H32" i="1"/>
  <c r="H33" i="1"/>
  <c r="H34" i="1"/>
  <c r="H35" i="1"/>
  <c r="H36" i="1"/>
  <c r="H37" i="1"/>
  <c r="H20" i="1"/>
  <c r="H21" i="1"/>
  <c r="H22" i="1"/>
  <c r="H23" i="1"/>
  <c r="H24" i="1"/>
  <c r="H25" i="1"/>
  <c r="H26" i="1"/>
  <c r="H27" i="1"/>
  <c r="H28" i="1"/>
  <c r="H29" i="1"/>
  <c r="H30" i="1"/>
  <c r="H31" i="1"/>
  <c r="E9" i="1"/>
  <c r="F9" i="1"/>
  <c r="E21" i="1"/>
  <c r="F21" i="1"/>
  <c r="G9" i="1"/>
  <c r="H9" i="1"/>
  <c r="E10" i="1"/>
  <c r="F10" i="1"/>
  <c r="E22" i="1"/>
  <c r="F22" i="1"/>
  <c r="G10" i="1"/>
  <c r="H10" i="1"/>
  <c r="E11" i="1"/>
  <c r="F11" i="1"/>
  <c r="E23" i="1"/>
  <c r="F23" i="1"/>
  <c r="G11" i="1"/>
  <c r="H11" i="1"/>
  <c r="E12" i="1"/>
  <c r="F12" i="1"/>
  <c r="E24" i="1"/>
  <c r="F24" i="1"/>
  <c r="G12" i="1"/>
  <c r="H12" i="1"/>
  <c r="E13" i="1"/>
  <c r="F13" i="1"/>
  <c r="E25" i="1"/>
  <c r="F25" i="1"/>
  <c r="G13" i="1"/>
  <c r="H13" i="1"/>
  <c r="E14" i="1"/>
  <c r="F14" i="1"/>
  <c r="E26" i="1"/>
  <c r="F26" i="1"/>
  <c r="G14" i="1"/>
  <c r="H14" i="1"/>
  <c r="E15" i="1"/>
  <c r="F15" i="1"/>
  <c r="E27" i="1"/>
  <c r="F27" i="1"/>
  <c r="G15" i="1"/>
  <c r="H15" i="1"/>
  <c r="E16" i="1"/>
  <c r="F16" i="1"/>
  <c r="E28" i="1"/>
  <c r="F28" i="1"/>
  <c r="G16" i="1"/>
  <c r="H16" i="1"/>
  <c r="E17" i="1"/>
  <c r="F17" i="1"/>
  <c r="E29" i="1"/>
  <c r="F29" i="1"/>
  <c r="G17" i="1"/>
  <c r="H17" i="1"/>
  <c r="E18" i="1"/>
  <c r="F18" i="1"/>
  <c r="E30" i="1"/>
  <c r="F30" i="1"/>
  <c r="G18" i="1"/>
  <c r="H18" i="1"/>
  <c r="E19" i="1"/>
  <c r="F19" i="1"/>
  <c r="E31" i="1"/>
  <c r="F31" i="1"/>
  <c r="G19" i="1"/>
  <c r="H19" i="1"/>
  <c r="E8" i="1"/>
  <c r="F8" i="1"/>
  <c r="E20" i="1"/>
  <c r="F20" i="1"/>
  <c r="E32" i="1"/>
  <c r="F32" i="1"/>
  <c r="G8" i="1"/>
  <c r="H8" i="1"/>
  <c r="L30" i="2"/>
  <c r="J3" i="2"/>
  <c r="K3" i="2"/>
  <c r="J4" i="2"/>
  <c r="K4" i="2"/>
  <c r="J5" i="2"/>
  <c r="K5" i="2"/>
  <c r="J6" i="2"/>
  <c r="K6" i="2"/>
  <c r="J7" i="2"/>
  <c r="K7" i="2"/>
  <c r="J8" i="2"/>
  <c r="K8" i="2"/>
  <c r="J9" i="2"/>
  <c r="K9" i="2"/>
  <c r="J10" i="2"/>
  <c r="K10" i="2"/>
  <c r="J11" i="2"/>
  <c r="K11" i="2"/>
  <c r="J12" i="2"/>
  <c r="K12" i="2"/>
  <c r="J13" i="2"/>
  <c r="K13" i="2"/>
  <c r="J14" i="2"/>
  <c r="K14" i="2"/>
  <c r="J15" i="2"/>
  <c r="K15" i="2"/>
  <c r="J16" i="2"/>
  <c r="K16" i="2"/>
  <c r="J17" i="2"/>
  <c r="K17" i="2"/>
  <c r="J18" i="2"/>
  <c r="K18" i="2"/>
  <c r="J19" i="2"/>
  <c r="K19" i="2"/>
  <c r="J20" i="2"/>
  <c r="K20" i="2"/>
  <c r="J21" i="2"/>
  <c r="K21" i="2"/>
  <c r="J22" i="2"/>
  <c r="K22" i="2"/>
  <c r="J23" i="2"/>
  <c r="K23" i="2"/>
  <c r="J24" i="2"/>
  <c r="K24" i="2"/>
  <c r="J25" i="2"/>
  <c r="K25" i="2"/>
  <c r="J26" i="2"/>
  <c r="K26" i="2"/>
  <c r="J27" i="2"/>
  <c r="K27" i="2"/>
  <c r="J28" i="2"/>
  <c r="K28" i="2"/>
  <c r="J29" i="2"/>
  <c r="K29" i="2"/>
  <c r="J30" i="2"/>
  <c r="K30" i="2"/>
  <c r="J31" i="2"/>
  <c r="K31" i="2"/>
  <c r="J32" i="2"/>
  <c r="K32" i="2"/>
  <c r="J33" i="2"/>
  <c r="K33" i="2"/>
  <c r="J2" i="2"/>
  <c r="K2" i="2"/>
  <c r="I3" i="2"/>
  <c r="E4" i="2"/>
  <c r="E5" i="2"/>
  <c r="F4" i="2"/>
  <c r="G4" i="2"/>
  <c r="E8" i="2"/>
  <c r="E9" i="2"/>
  <c r="F8" i="2"/>
  <c r="G8" i="2"/>
  <c r="E12" i="2"/>
  <c r="E13" i="2"/>
  <c r="F12" i="2"/>
  <c r="G12" i="2"/>
  <c r="E16" i="2"/>
  <c r="E17" i="2"/>
  <c r="F16" i="2"/>
  <c r="G16" i="2"/>
  <c r="E20" i="2"/>
  <c r="E21" i="2"/>
  <c r="F20" i="2"/>
  <c r="G20" i="2"/>
  <c r="E24" i="2"/>
  <c r="E25" i="2"/>
  <c r="F24" i="2"/>
  <c r="G24" i="2"/>
  <c r="H4" i="2"/>
  <c r="I4" i="2"/>
  <c r="E6" i="2"/>
  <c r="F5" i="2"/>
  <c r="G5" i="2"/>
  <c r="E10" i="2"/>
  <c r="F9" i="2"/>
  <c r="G9" i="2"/>
  <c r="E14" i="2"/>
  <c r="F13" i="2"/>
  <c r="G13" i="2"/>
  <c r="E18" i="2"/>
  <c r="F17" i="2"/>
  <c r="G17" i="2"/>
  <c r="E22" i="2"/>
  <c r="F21" i="2"/>
  <c r="G21" i="2"/>
  <c r="E26" i="2"/>
  <c r="F25" i="2"/>
  <c r="G25" i="2"/>
  <c r="H5" i="2"/>
  <c r="I5" i="2"/>
  <c r="E7" i="2"/>
  <c r="F6" i="2"/>
  <c r="G6" i="2"/>
  <c r="E11" i="2"/>
  <c r="F10" i="2"/>
  <c r="G10" i="2"/>
  <c r="E15" i="2"/>
  <c r="F14" i="2"/>
  <c r="G14" i="2"/>
  <c r="E19" i="2"/>
  <c r="F18" i="2"/>
  <c r="G18" i="2"/>
  <c r="E23" i="2"/>
  <c r="F22" i="2"/>
  <c r="G22" i="2"/>
  <c r="E27" i="2"/>
  <c r="F26" i="2"/>
  <c r="G26" i="2"/>
  <c r="H6" i="2"/>
  <c r="I6" i="2"/>
  <c r="F7" i="2"/>
  <c r="G7" i="2"/>
  <c r="F11" i="2"/>
  <c r="G11" i="2"/>
  <c r="F15" i="2"/>
  <c r="G15" i="2"/>
  <c r="F19" i="2"/>
  <c r="G19" i="2"/>
  <c r="F23" i="2"/>
  <c r="G23" i="2"/>
  <c r="E28" i="2"/>
  <c r="F27" i="2"/>
  <c r="G27" i="2"/>
  <c r="H7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2" i="2"/>
</calcChain>
</file>

<file path=xl/sharedStrings.xml><?xml version="1.0" encoding="utf-8"?>
<sst xmlns="http://schemas.openxmlformats.org/spreadsheetml/2006/main" count="167" uniqueCount="62">
  <si>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</si>
  <si>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</si>
  <si>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</si>
  <si>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</si>
  <si>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</si>
  <si>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</si>
  <si>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</si>
  <si>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</si>
  <si>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</si>
  <si>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</si>
  <si>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</si>
  <si>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</si>
  <si>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</si>
  <si>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</t>
  </si>
  <si>
    <t>Lawn Expenses</t>
  </si>
  <si>
    <t>Quarter</t>
  </si>
  <si>
    <t>Visitors</t>
  </si>
  <si>
    <t xml:space="preserve">I </t>
  </si>
  <si>
    <t>II</t>
  </si>
  <si>
    <t>III</t>
  </si>
  <si>
    <t>IV</t>
  </si>
  <si>
    <t>Moving Average(4)</t>
  </si>
  <si>
    <t>Central Moving Average(2)</t>
  </si>
  <si>
    <t>Seasonal Irregularity</t>
  </si>
  <si>
    <t>Seasonality Index</t>
  </si>
  <si>
    <t>Deseasonalize</t>
  </si>
  <si>
    <t>Time Series</t>
  </si>
  <si>
    <t>x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</si>
  <si>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</si>
  <si>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</si>
  <si>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</si>
  <si>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</si>
  <si>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</si>
  <si>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</si>
  <si>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</si>
  <si>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</si>
  <si>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</si>
  <si>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</si>
  <si>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</si>
  <si>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</si>
  <si>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</si>
  <si>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</si>
  <si>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</si>
  <si>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</si>
  <si>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</si>
  <si>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</si>
  <si>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</si>
  <si>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</si>
  <si>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</si>
  <si>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</si>
  <si>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</si>
  <si>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</si>
  <si>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</si>
  <si>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</si>
  <si>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Deseasonalize</t>
  </si>
  <si>
    <t>Residuals</t>
  </si>
  <si>
    <t>m</t>
  </si>
  <si>
    <t>c</t>
  </si>
  <si>
    <t>Forecast</t>
  </si>
  <si>
    <t>Ray's Prediction</t>
  </si>
  <si>
    <t>The best forecast is for the second quarter of 2007. Winter hold forecasting is better than Ray's prediction, because it takes into account the seasonlity effect.</t>
  </si>
  <si>
    <t>Moving Average(12)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</si>
</sst>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1" xfId="0" applyBorder="1"/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Continuous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7F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</a:rPr>
              <a:t>VISITORS</a:t>
            </a:r>
            <a:r>
              <a:rPr lang="en-US" sz="1600" b="1" baseline="0">
                <a:solidFill>
                  <a:schemeClr val="tx1"/>
                </a:solidFill>
              </a:rPr>
              <a:t> OVER YEARS</a:t>
            </a:r>
            <a:endParaRPr lang="en-US" sz="16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8"/>
          <c:order val="0"/>
          <c:tx>
            <c:strRef>
              <c:f>'Ski Lodge Visitors'!$D$1</c:f>
              <c:strCache>
                <c:ptCount val="1"/>
                <c:pt idx="0">
                  <c:v>Visitors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'Ski Lodge Visitors'!$B$2:$C$33</c:f>
              <c:multiLvlStrCache>
                <c:ptCount val="32"/>
                <c:lvl>
                  <c:pt idx="0">
                    <c:v>I </c:v>
                  </c:pt>
                  <c:pt idx="1">
                    <c:v>II</c:v>
                  </c:pt>
                  <c:pt idx="2">
                    <c:v>III</c:v>
                  </c:pt>
                  <c:pt idx="3">
                    <c:v>IV</c:v>
                  </c:pt>
                  <c:pt idx="4">
                    <c:v>I </c:v>
                  </c:pt>
                  <c:pt idx="5">
                    <c:v>II</c:v>
                  </c:pt>
                  <c:pt idx="6">
                    <c:v>III</c:v>
                  </c:pt>
                  <c:pt idx="7">
                    <c:v>IV</c:v>
                  </c:pt>
                  <c:pt idx="8">
                    <c:v>I </c:v>
                  </c:pt>
                  <c:pt idx="9">
                    <c:v>II</c:v>
                  </c:pt>
                  <c:pt idx="10">
                    <c:v>III</c:v>
                  </c:pt>
                  <c:pt idx="11">
                    <c:v>IV</c:v>
                  </c:pt>
                  <c:pt idx="12">
                    <c:v>I </c:v>
                  </c:pt>
                  <c:pt idx="13">
                    <c:v>II</c:v>
                  </c:pt>
                  <c:pt idx="14">
                    <c:v>III</c:v>
                  </c:pt>
                  <c:pt idx="15">
                    <c:v>IV</c:v>
                  </c:pt>
                  <c:pt idx="16">
                    <c:v>I </c:v>
                  </c:pt>
                  <c:pt idx="17">
                    <c:v>II</c:v>
                  </c:pt>
                  <c:pt idx="18">
                    <c:v>III</c:v>
                  </c:pt>
                  <c:pt idx="19">
                    <c:v>IV</c:v>
                  </c:pt>
                  <c:pt idx="20">
                    <c:v>I </c:v>
                  </c:pt>
                  <c:pt idx="21">
                    <c:v>II</c:v>
                  </c:pt>
                  <c:pt idx="22">
                    <c:v>III</c:v>
                  </c:pt>
                  <c:pt idx="23">
                    <c:v>IV</c:v>
                  </c:pt>
                  <c:pt idx="24">
                    <c:v>I </c:v>
                  </c:pt>
                  <c:pt idx="25">
                    <c:v>II</c:v>
                  </c:pt>
                  <c:pt idx="26">
                    <c:v>III</c:v>
                  </c:pt>
                  <c:pt idx="27">
                    <c:v>IV</c:v>
                  </c:pt>
                  <c:pt idx="28">
                    <c:v>I </c:v>
                  </c:pt>
                  <c:pt idx="29">
                    <c:v>II</c:v>
                  </c:pt>
                  <c:pt idx="30">
                    <c:v>III</c:v>
                  </c:pt>
                  <c:pt idx="31">
                    <c:v>IV</c:v>
                  </c:pt>
                </c:lvl>
                <c:lvl>
                  <c:pt idx="0">
                    <c:v>1999</c:v>
                  </c:pt>
                  <c:pt idx="4">
                    <c:v>2000</c:v>
                  </c:pt>
                  <c:pt idx="8">
                    <c:v>2001</c:v>
                  </c:pt>
                  <c:pt idx="12">
                    <c:v>2002</c:v>
                  </c:pt>
                  <c:pt idx="16">
                    <c:v>2003</c:v>
                  </c:pt>
                  <c:pt idx="20">
                    <c:v>2004</c:v>
                  </c:pt>
                  <c:pt idx="24">
                    <c:v>2005</c:v>
                  </c:pt>
                  <c:pt idx="28">
                    <c:v>2006</c:v>
                  </c:pt>
                </c:lvl>
              </c:multiLvlStrCache>
            </c:multiLvlStrRef>
          </c:cat>
          <c:val>
            <c:numRef>
              <c:f>'Ski Lodge Visitors'!$D$2:$D$33</c:f>
              <c:numCache>
                <c:formatCode>General</c:formatCode>
                <c:ptCount val="32"/>
                <c:pt idx="0">
                  <c:v>86</c:v>
                </c:pt>
                <c:pt idx="1">
                  <c:v>62</c:v>
                </c:pt>
                <c:pt idx="2">
                  <c:v>28</c:v>
                </c:pt>
                <c:pt idx="3">
                  <c:v>94</c:v>
                </c:pt>
                <c:pt idx="4">
                  <c:v>106</c:v>
                </c:pt>
                <c:pt idx="5">
                  <c:v>82</c:v>
                </c:pt>
                <c:pt idx="6">
                  <c:v>48</c:v>
                </c:pt>
                <c:pt idx="7">
                  <c:v>114</c:v>
                </c:pt>
                <c:pt idx="8">
                  <c:v>140</c:v>
                </c:pt>
                <c:pt idx="9">
                  <c:v>120</c:v>
                </c:pt>
                <c:pt idx="10">
                  <c:v>82</c:v>
                </c:pt>
                <c:pt idx="11">
                  <c:v>154</c:v>
                </c:pt>
                <c:pt idx="12">
                  <c:v>162</c:v>
                </c:pt>
                <c:pt idx="13">
                  <c:v>140</c:v>
                </c:pt>
                <c:pt idx="14">
                  <c:v>100</c:v>
                </c:pt>
                <c:pt idx="15">
                  <c:v>174</c:v>
                </c:pt>
                <c:pt idx="16">
                  <c:v>188</c:v>
                </c:pt>
                <c:pt idx="17">
                  <c:v>172</c:v>
                </c:pt>
                <c:pt idx="18">
                  <c:v>128</c:v>
                </c:pt>
                <c:pt idx="19">
                  <c:v>198</c:v>
                </c:pt>
                <c:pt idx="20">
                  <c:v>208</c:v>
                </c:pt>
                <c:pt idx="21">
                  <c:v>202</c:v>
                </c:pt>
                <c:pt idx="22">
                  <c:v>154</c:v>
                </c:pt>
                <c:pt idx="23">
                  <c:v>220</c:v>
                </c:pt>
                <c:pt idx="24">
                  <c:v>246</c:v>
                </c:pt>
                <c:pt idx="25">
                  <c:v>240</c:v>
                </c:pt>
                <c:pt idx="26">
                  <c:v>190</c:v>
                </c:pt>
                <c:pt idx="27">
                  <c:v>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749-6B48-AFAC-EB07691B6D32}"/>
            </c:ext>
          </c:extLst>
        </c:ser>
        <c:ser>
          <c:idx val="6"/>
          <c:order val="1"/>
          <c:tx>
            <c:strRef>
              <c:f>'Ski Lodge Visitors'!$F$1</c:f>
              <c:strCache>
                <c:ptCount val="1"/>
                <c:pt idx="0">
                  <c:v>Central Moving Average(2)</c:v>
                </c:pt>
              </c:strCache>
            </c:strRef>
          </c:tx>
          <c:spPr>
            <a:ln w="28575" cap="rnd">
              <a:solidFill>
                <a:srgbClr val="F77FDE"/>
              </a:solidFill>
              <a:prstDash val="sysDash"/>
              <a:round/>
            </a:ln>
            <a:effectLst/>
          </c:spPr>
          <c:marker>
            <c:symbol val="none"/>
          </c:marker>
          <c:cat>
            <c:multiLvlStrRef>
              <c:f>'Ski Lodge Visitors'!$B$2:$C$33</c:f>
              <c:multiLvlStrCache>
                <c:ptCount val="32"/>
                <c:lvl>
                  <c:pt idx="0">
                    <c:v>I </c:v>
                  </c:pt>
                  <c:pt idx="1">
                    <c:v>II</c:v>
                  </c:pt>
                  <c:pt idx="2">
                    <c:v>III</c:v>
                  </c:pt>
                  <c:pt idx="3">
                    <c:v>IV</c:v>
                  </c:pt>
                  <c:pt idx="4">
                    <c:v>I </c:v>
                  </c:pt>
                  <c:pt idx="5">
                    <c:v>II</c:v>
                  </c:pt>
                  <c:pt idx="6">
                    <c:v>III</c:v>
                  </c:pt>
                  <c:pt idx="7">
                    <c:v>IV</c:v>
                  </c:pt>
                  <c:pt idx="8">
                    <c:v>I </c:v>
                  </c:pt>
                  <c:pt idx="9">
                    <c:v>II</c:v>
                  </c:pt>
                  <c:pt idx="10">
                    <c:v>III</c:v>
                  </c:pt>
                  <c:pt idx="11">
                    <c:v>IV</c:v>
                  </c:pt>
                  <c:pt idx="12">
                    <c:v>I </c:v>
                  </c:pt>
                  <c:pt idx="13">
                    <c:v>II</c:v>
                  </c:pt>
                  <c:pt idx="14">
                    <c:v>III</c:v>
                  </c:pt>
                  <c:pt idx="15">
                    <c:v>IV</c:v>
                  </c:pt>
                  <c:pt idx="16">
                    <c:v>I </c:v>
                  </c:pt>
                  <c:pt idx="17">
                    <c:v>II</c:v>
                  </c:pt>
                  <c:pt idx="18">
                    <c:v>III</c:v>
                  </c:pt>
                  <c:pt idx="19">
                    <c:v>IV</c:v>
                  </c:pt>
                  <c:pt idx="20">
                    <c:v>I </c:v>
                  </c:pt>
                  <c:pt idx="21">
                    <c:v>II</c:v>
                  </c:pt>
                  <c:pt idx="22">
                    <c:v>III</c:v>
                  </c:pt>
                  <c:pt idx="23">
                    <c:v>IV</c:v>
                  </c:pt>
                  <c:pt idx="24">
                    <c:v>I </c:v>
                  </c:pt>
                  <c:pt idx="25">
                    <c:v>II</c:v>
                  </c:pt>
                  <c:pt idx="26">
                    <c:v>III</c:v>
                  </c:pt>
                  <c:pt idx="27">
                    <c:v>IV</c:v>
                  </c:pt>
                  <c:pt idx="28">
                    <c:v>I </c:v>
                  </c:pt>
                  <c:pt idx="29">
                    <c:v>II</c:v>
                  </c:pt>
                  <c:pt idx="30">
                    <c:v>III</c:v>
                  </c:pt>
                  <c:pt idx="31">
                    <c:v>IV</c:v>
                  </c:pt>
                </c:lvl>
                <c:lvl>
                  <c:pt idx="0">
                    <c:v>1999</c:v>
                  </c:pt>
                  <c:pt idx="4">
                    <c:v>2000</c:v>
                  </c:pt>
                  <c:pt idx="8">
                    <c:v>2001</c:v>
                  </c:pt>
                  <c:pt idx="12">
                    <c:v>2002</c:v>
                  </c:pt>
                  <c:pt idx="16">
                    <c:v>2003</c:v>
                  </c:pt>
                  <c:pt idx="20">
                    <c:v>2004</c:v>
                  </c:pt>
                  <c:pt idx="24">
                    <c:v>2005</c:v>
                  </c:pt>
                  <c:pt idx="28">
                    <c:v>2006</c:v>
                  </c:pt>
                </c:lvl>
              </c:multiLvlStrCache>
            </c:multiLvlStrRef>
          </c:cat>
          <c:val>
            <c:numRef>
              <c:f>'Ski Lodge Visitors'!$F$2:$F$33</c:f>
              <c:numCache>
                <c:formatCode>General</c:formatCode>
                <c:ptCount val="32"/>
                <c:pt idx="2">
                  <c:v>70</c:v>
                </c:pt>
                <c:pt idx="3">
                  <c:v>75</c:v>
                </c:pt>
                <c:pt idx="4">
                  <c:v>80</c:v>
                </c:pt>
                <c:pt idx="5">
                  <c:v>85</c:v>
                </c:pt>
                <c:pt idx="6">
                  <c:v>91.75</c:v>
                </c:pt>
                <c:pt idx="7">
                  <c:v>100.75</c:v>
                </c:pt>
                <c:pt idx="8">
                  <c:v>109.75</c:v>
                </c:pt>
                <c:pt idx="9">
                  <c:v>119</c:v>
                </c:pt>
                <c:pt idx="10">
                  <c:v>126.75</c:v>
                </c:pt>
                <c:pt idx="11">
                  <c:v>132</c:v>
                </c:pt>
                <c:pt idx="12">
                  <c:v>136.75</c:v>
                </c:pt>
                <c:pt idx="13">
                  <c:v>141.5</c:v>
                </c:pt>
                <c:pt idx="14">
                  <c:v>147.25</c:v>
                </c:pt>
                <c:pt idx="15">
                  <c:v>154.5</c:v>
                </c:pt>
                <c:pt idx="16">
                  <c:v>162</c:v>
                </c:pt>
                <c:pt idx="17">
                  <c:v>168.5</c:v>
                </c:pt>
                <c:pt idx="18">
                  <c:v>174</c:v>
                </c:pt>
                <c:pt idx="19">
                  <c:v>180.25</c:v>
                </c:pt>
                <c:pt idx="20">
                  <c:v>187.25</c:v>
                </c:pt>
                <c:pt idx="21">
                  <c:v>193.25</c:v>
                </c:pt>
                <c:pt idx="22">
                  <c:v>200.75</c:v>
                </c:pt>
                <c:pt idx="23">
                  <c:v>210.25</c:v>
                </c:pt>
                <c:pt idx="24">
                  <c:v>219.5</c:v>
                </c:pt>
                <c:pt idx="25">
                  <c:v>228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50-D340-BF21-E14DB7D34404}"/>
            </c:ext>
          </c:extLst>
        </c:ser>
        <c:ser>
          <c:idx val="5"/>
          <c:order val="2"/>
          <c:tx>
            <c:strRef>
              <c:f>'Ski Lodge Visitors'!$K$1</c:f>
              <c:strCache>
                <c:ptCount val="1"/>
                <c:pt idx="0">
                  <c:v>Forecast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none"/>
          </c:marker>
          <c:cat>
            <c:multiLvlStrRef>
              <c:f>'Ski Lodge Visitors'!$B$2:$C$33</c:f>
              <c:multiLvlStrCache>
                <c:ptCount val="32"/>
                <c:lvl>
                  <c:pt idx="0">
                    <c:v>I </c:v>
                  </c:pt>
                  <c:pt idx="1">
                    <c:v>II</c:v>
                  </c:pt>
                  <c:pt idx="2">
                    <c:v>III</c:v>
                  </c:pt>
                  <c:pt idx="3">
                    <c:v>IV</c:v>
                  </c:pt>
                  <c:pt idx="4">
                    <c:v>I </c:v>
                  </c:pt>
                  <c:pt idx="5">
                    <c:v>II</c:v>
                  </c:pt>
                  <c:pt idx="6">
                    <c:v>III</c:v>
                  </c:pt>
                  <c:pt idx="7">
                    <c:v>IV</c:v>
                  </c:pt>
                  <c:pt idx="8">
                    <c:v>I </c:v>
                  </c:pt>
                  <c:pt idx="9">
                    <c:v>II</c:v>
                  </c:pt>
                  <c:pt idx="10">
                    <c:v>III</c:v>
                  </c:pt>
                  <c:pt idx="11">
                    <c:v>IV</c:v>
                  </c:pt>
                  <c:pt idx="12">
                    <c:v>I </c:v>
                  </c:pt>
                  <c:pt idx="13">
                    <c:v>II</c:v>
                  </c:pt>
                  <c:pt idx="14">
                    <c:v>III</c:v>
                  </c:pt>
                  <c:pt idx="15">
                    <c:v>IV</c:v>
                  </c:pt>
                  <c:pt idx="16">
                    <c:v>I </c:v>
                  </c:pt>
                  <c:pt idx="17">
                    <c:v>II</c:v>
                  </c:pt>
                  <c:pt idx="18">
                    <c:v>III</c:v>
                  </c:pt>
                  <c:pt idx="19">
                    <c:v>IV</c:v>
                  </c:pt>
                  <c:pt idx="20">
                    <c:v>I </c:v>
                  </c:pt>
                  <c:pt idx="21">
                    <c:v>II</c:v>
                  </c:pt>
                  <c:pt idx="22">
                    <c:v>III</c:v>
                  </c:pt>
                  <c:pt idx="23">
                    <c:v>IV</c:v>
                  </c:pt>
                  <c:pt idx="24">
                    <c:v>I </c:v>
                  </c:pt>
                  <c:pt idx="25">
                    <c:v>II</c:v>
                  </c:pt>
                  <c:pt idx="26">
                    <c:v>III</c:v>
                  </c:pt>
                  <c:pt idx="27">
                    <c:v>IV</c:v>
                  </c:pt>
                  <c:pt idx="28">
                    <c:v>I </c:v>
                  </c:pt>
                  <c:pt idx="29">
                    <c:v>II</c:v>
                  </c:pt>
                  <c:pt idx="30">
                    <c:v>III</c:v>
                  </c:pt>
                  <c:pt idx="31">
                    <c:v>IV</c:v>
                  </c:pt>
                </c:lvl>
                <c:lvl>
                  <c:pt idx="0">
                    <c:v>1999</c:v>
                  </c:pt>
                  <c:pt idx="4">
                    <c:v>2000</c:v>
                  </c:pt>
                  <c:pt idx="8">
                    <c:v>2001</c:v>
                  </c:pt>
                  <c:pt idx="12">
                    <c:v>2002</c:v>
                  </c:pt>
                  <c:pt idx="16">
                    <c:v>2003</c:v>
                  </c:pt>
                  <c:pt idx="20">
                    <c:v>2004</c:v>
                  </c:pt>
                  <c:pt idx="24">
                    <c:v>2005</c:v>
                  </c:pt>
                  <c:pt idx="28">
                    <c:v>2006</c:v>
                  </c:pt>
                </c:lvl>
              </c:multiLvlStrCache>
            </c:multiLvlStrRef>
          </c:cat>
          <c:val>
            <c:numRef>
              <c:f>'Ski Lodge Visitors'!$K$2:$K$33</c:f>
              <c:numCache>
                <c:formatCode>General</c:formatCode>
                <c:ptCount val="32"/>
                <c:pt idx="0">
                  <c:v>61.260858177555924</c:v>
                </c:pt>
                <c:pt idx="1">
                  <c:v>59.273618643910652</c:v>
                </c:pt>
                <c:pt idx="2">
                  <c:v>41.116901432915242</c:v>
                </c:pt>
                <c:pt idx="3">
                  <c:v>83.033608738959785</c:v>
                </c:pt>
                <c:pt idx="4">
                  <c:v>96.047511908248168</c:v>
                </c:pt>
                <c:pt idx="5">
                  <c:v>88.747659457119425</c:v>
                </c:pt>
                <c:pt idx="6">
                  <c:v>59.301813168325857</c:v>
                </c:pt>
                <c:pt idx="7">
                  <c:v>116.10096235510288</c:v>
                </c:pt>
                <c:pt idx="8">
                  <c:v>130.83416563894042</c:v>
                </c:pt>
                <c:pt idx="9">
                  <c:v>118.2217002703282</c:v>
                </c:pt>
                <c:pt idx="10">
                  <c:v>77.486724903736459</c:v>
                </c:pt>
                <c:pt idx="11">
                  <c:v>149.16831597124596</c:v>
                </c:pt>
                <c:pt idx="12">
                  <c:v>165.62081936963264</c:v>
                </c:pt>
                <c:pt idx="13">
                  <c:v>147.69574108353697</c:v>
                </c:pt>
                <c:pt idx="14">
                  <c:v>95.671636639147053</c:v>
                </c:pt>
                <c:pt idx="15">
                  <c:v>182.23566958738905</c:v>
                </c:pt>
                <c:pt idx="16">
                  <c:v>200.40747310032492</c:v>
                </c:pt>
                <c:pt idx="17">
                  <c:v>177.16978189674577</c:v>
                </c:pt>
                <c:pt idx="18">
                  <c:v>113.85654837455768</c:v>
                </c:pt>
                <c:pt idx="19">
                  <c:v>215.30302320353215</c:v>
                </c:pt>
                <c:pt idx="20">
                  <c:v>235.19412683101717</c:v>
                </c:pt>
                <c:pt idx="21">
                  <c:v>206.64382270995455</c:v>
                </c:pt>
                <c:pt idx="22">
                  <c:v>132.04146010996828</c:v>
                </c:pt>
                <c:pt idx="23">
                  <c:v>248.37037681967527</c:v>
                </c:pt>
                <c:pt idx="24">
                  <c:v>269.98078056170942</c:v>
                </c:pt>
                <c:pt idx="25">
                  <c:v>236.11786352316335</c:v>
                </c:pt>
                <c:pt idx="26">
                  <c:v>150.22637184537885</c:v>
                </c:pt>
                <c:pt idx="27">
                  <c:v>281.43773043581831</c:v>
                </c:pt>
                <c:pt idx="28">
                  <c:v>304.76743429240162</c:v>
                </c:pt>
                <c:pt idx="29">
                  <c:v>265.59190433637207</c:v>
                </c:pt>
                <c:pt idx="30">
                  <c:v>168.41128358078947</c:v>
                </c:pt>
                <c:pt idx="31">
                  <c:v>314.50508405196143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D50-D340-BF21-E14DB7D34404}"/>
            </c:ext>
          </c:extLst>
        </c:ser>
        <c:ser>
          <c:idx val="7"/>
          <c:order val="3"/>
          <c:tx>
            <c:strRef>
              <c:f>'Ski Lodge Visitors'!$L$1</c:f>
              <c:strCache>
                <c:ptCount val="1"/>
                <c:pt idx="0">
                  <c:v>Ray's Prediction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cat>
            <c:multiLvlStrRef>
              <c:f>'Ski Lodge Visitors'!$B$2:$C$33</c:f>
              <c:multiLvlStrCache>
                <c:ptCount val="32"/>
                <c:lvl>
                  <c:pt idx="0">
                    <c:v>I </c:v>
                  </c:pt>
                  <c:pt idx="1">
                    <c:v>II</c:v>
                  </c:pt>
                  <c:pt idx="2">
                    <c:v>III</c:v>
                  </c:pt>
                  <c:pt idx="3">
                    <c:v>IV</c:v>
                  </c:pt>
                  <c:pt idx="4">
                    <c:v>I </c:v>
                  </c:pt>
                  <c:pt idx="5">
                    <c:v>II</c:v>
                  </c:pt>
                  <c:pt idx="6">
                    <c:v>III</c:v>
                  </c:pt>
                  <c:pt idx="7">
                    <c:v>IV</c:v>
                  </c:pt>
                  <c:pt idx="8">
                    <c:v>I </c:v>
                  </c:pt>
                  <c:pt idx="9">
                    <c:v>II</c:v>
                  </c:pt>
                  <c:pt idx="10">
                    <c:v>III</c:v>
                  </c:pt>
                  <c:pt idx="11">
                    <c:v>IV</c:v>
                  </c:pt>
                  <c:pt idx="12">
                    <c:v>I </c:v>
                  </c:pt>
                  <c:pt idx="13">
                    <c:v>II</c:v>
                  </c:pt>
                  <c:pt idx="14">
                    <c:v>III</c:v>
                  </c:pt>
                  <c:pt idx="15">
                    <c:v>IV</c:v>
                  </c:pt>
                  <c:pt idx="16">
                    <c:v>I </c:v>
                  </c:pt>
                  <c:pt idx="17">
                    <c:v>II</c:v>
                  </c:pt>
                  <c:pt idx="18">
                    <c:v>III</c:v>
                  </c:pt>
                  <c:pt idx="19">
                    <c:v>IV</c:v>
                  </c:pt>
                  <c:pt idx="20">
                    <c:v>I </c:v>
                  </c:pt>
                  <c:pt idx="21">
                    <c:v>II</c:v>
                  </c:pt>
                  <c:pt idx="22">
                    <c:v>III</c:v>
                  </c:pt>
                  <c:pt idx="23">
                    <c:v>IV</c:v>
                  </c:pt>
                  <c:pt idx="24">
                    <c:v>I </c:v>
                  </c:pt>
                  <c:pt idx="25">
                    <c:v>II</c:v>
                  </c:pt>
                  <c:pt idx="26">
                    <c:v>III</c:v>
                  </c:pt>
                  <c:pt idx="27">
                    <c:v>IV</c:v>
                  </c:pt>
                  <c:pt idx="28">
                    <c:v>I </c:v>
                  </c:pt>
                  <c:pt idx="29">
                    <c:v>II</c:v>
                  </c:pt>
                  <c:pt idx="30">
                    <c:v>III</c:v>
                  </c:pt>
                  <c:pt idx="31">
                    <c:v>IV</c:v>
                  </c:pt>
                </c:lvl>
                <c:lvl>
                  <c:pt idx="0">
                    <c:v>1999</c:v>
                  </c:pt>
                  <c:pt idx="4">
                    <c:v>2000</c:v>
                  </c:pt>
                  <c:pt idx="8">
                    <c:v>2001</c:v>
                  </c:pt>
                  <c:pt idx="12">
                    <c:v>2002</c:v>
                  </c:pt>
                  <c:pt idx="16">
                    <c:v>2003</c:v>
                  </c:pt>
                  <c:pt idx="20">
                    <c:v>2004</c:v>
                  </c:pt>
                  <c:pt idx="24">
                    <c:v>2005</c:v>
                  </c:pt>
                  <c:pt idx="28">
                    <c:v>2006</c:v>
                  </c:pt>
                </c:lvl>
              </c:multiLvlStrCache>
            </c:multiLvlStrRef>
          </c:cat>
          <c:val>
            <c:numRef>
              <c:f>'Ski Lodge Visitors'!$L$2:$L$33</c:f>
              <c:numCache>
                <c:formatCode>General</c:formatCode>
                <c:ptCount val="32"/>
                <c:pt idx="28">
                  <c:v>255.20000000000002</c:v>
                </c:pt>
                <c:pt idx="29">
                  <c:v>255.20000000000002</c:v>
                </c:pt>
                <c:pt idx="30">
                  <c:v>255.20000000000002</c:v>
                </c:pt>
                <c:pt idx="31">
                  <c:v>255.20000000000002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D50-D340-BF21-E14DB7D34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1493535"/>
        <c:axId val="1771495263"/>
      </c:lineChart>
      <c:catAx>
        <c:axId val="1771493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>
                    <a:solidFill>
                      <a:schemeClr val="tx1"/>
                    </a:solidFill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495263"/>
        <c:crosses val="autoZero"/>
        <c:auto val="1"/>
        <c:lblAlgn val="ctr"/>
        <c:lblOffset val="100"/>
        <c:noMultiLvlLbl val="0"/>
      </c:catAx>
      <c:valAx>
        <c:axId val="1771495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>
                    <a:solidFill>
                      <a:schemeClr val="tx1"/>
                    </a:solidFill>
                  </a:rPr>
                  <a:t>VISITORS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493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</a:rPr>
              <a:t>LAWN</a:t>
            </a:r>
            <a:r>
              <a:rPr lang="en-US" sz="1600" b="1" baseline="0">
                <a:solidFill>
                  <a:schemeClr val="tx1"/>
                </a:solidFill>
              </a:rPr>
              <a:t> EXPENSES</a:t>
            </a:r>
            <a:endParaRPr lang="en-US" sz="16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'Lawn expenses'!$D$1</c:f>
              <c:strCache>
                <c:ptCount val="1"/>
                <c:pt idx="0">
                  <c:v>Lawn Expenses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'Lawn expenses'!$B$2:$C$49</c:f>
              <c:multiLvlStrCache>
                <c:ptCount val="48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</c:v>
                  </c:pt>
                  <c:pt idx="23">
                    <c:v>December</c:v>
                  </c:pt>
                  <c:pt idx="24">
                    <c:v>January</c:v>
                  </c:pt>
                  <c:pt idx="25">
                    <c:v>February</c:v>
                  </c:pt>
                  <c:pt idx="26">
                    <c:v>March</c:v>
                  </c:pt>
                  <c:pt idx="27">
                    <c:v>April</c:v>
                  </c:pt>
                  <c:pt idx="28">
                    <c:v>May</c:v>
                  </c:pt>
                  <c:pt idx="29">
                    <c:v>June</c:v>
                  </c:pt>
                  <c:pt idx="30">
                    <c:v>July</c:v>
                  </c:pt>
                  <c:pt idx="31">
                    <c:v>August</c:v>
                  </c:pt>
                  <c:pt idx="32">
                    <c:v>September</c:v>
                  </c:pt>
                  <c:pt idx="33">
                    <c:v>October</c:v>
                  </c:pt>
                  <c:pt idx="34">
                    <c:v>November</c:v>
                  </c:pt>
                  <c:pt idx="35">
                    <c:v>December</c:v>
                  </c:pt>
                  <c:pt idx="36">
                    <c:v>January</c:v>
                  </c:pt>
                  <c:pt idx="37">
                    <c:v>February</c:v>
                  </c:pt>
                  <c:pt idx="38">
                    <c:v>March</c:v>
                  </c:pt>
                  <c:pt idx="39">
                    <c:v>April</c:v>
                  </c:pt>
                  <c:pt idx="40">
                    <c:v>May</c:v>
                  </c:pt>
                  <c:pt idx="41">
                    <c:v>June</c:v>
                  </c:pt>
                  <c:pt idx="42">
                    <c:v>July</c:v>
                  </c:pt>
                  <c:pt idx="43">
                    <c:v>August</c:v>
                  </c:pt>
                  <c:pt idx="44">
                    <c:v>September</c:v>
                  </c:pt>
                  <c:pt idx="45">
                    <c:v>October</c:v>
                  </c:pt>
                  <c:pt idx="46">
                    <c:v>November</c:v>
                  </c:pt>
                  <c:pt idx="47">
                    <c:v>December</c:v>
                  </c:pt>
                </c:lvl>
                <c:lvl>
                  <c:pt idx="0">
                    <c:v>1</c:v>
                  </c:pt>
                  <c:pt idx="12">
                    <c:v>2</c:v>
                  </c:pt>
                  <c:pt idx="24">
                    <c:v>3</c:v>
                  </c:pt>
                  <c:pt idx="36">
                    <c:v>4</c:v>
                  </c:pt>
                </c:lvl>
              </c:multiLvlStrCache>
            </c:multiLvlStrRef>
          </c:cat>
          <c:val>
            <c:numRef>
              <c:f>'Lawn expenses'!$D$2:$D$49</c:f>
              <c:numCache>
                <c:formatCode>General</c:formatCode>
                <c:ptCount val="48"/>
                <c:pt idx="0">
                  <c:v>170</c:v>
                </c:pt>
                <c:pt idx="1">
                  <c:v>180</c:v>
                </c:pt>
                <c:pt idx="2">
                  <c:v>205</c:v>
                </c:pt>
                <c:pt idx="3">
                  <c:v>230</c:v>
                </c:pt>
                <c:pt idx="4">
                  <c:v>240</c:v>
                </c:pt>
                <c:pt idx="5">
                  <c:v>315</c:v>
                </c:pt>
                <c:pt idx="6">
                  <c:v>360</c:v>
                </c:pt>
                <c:pt idx="7">
                  <c:v>290</c:v>
                </c:pt>
                <c:pt idx="8">
                  <c:v>240</c:v>
                </c:pt>
                <c:pt idx="9">
                  <c:v>240</c:v>
                </c:pt>
                <c:pt idx="10">
                  <c:v>230</c:v>
                </c:pt>
                <c:pt idx="11">
                  <c:v>195</c:v>
                </c:pt>
                <c:pt idx="12">
                  <c:v>180</c:v>
                </c:pt>
                <c:pt idx="13">
                  <c:v>205</c:v>
                </c:pt>
                <c:pt idx="14">
                  <c:v>215</c:v>
                </c:pt>
                <c:pt idx="15">
                  <c:v>245</c:v>
                </c:pt>
                <c:pt idx="16">
                  <c:v>265</c:v>
                </c:pt>
                <c:pt idx="17">
                  <c:v>330</c:v>
                </c:pt>
                <c:pt idx="18">
                  <c:v>400</c:v>
                </c:pt>
                <c:pt idx="19">
                  <c:v>335</c:v>
                </c:pt>
                <c:pt idx="20">
                  <c:v>260</c:v>
                </c:pt>
                <c:pt idx="21">
                  <c:v>270</c:v>
                </c:pt>
                <c:pt idx="22">
                  <c:v>255</c:v>
                </c:pt>
                <c:pt idx="23">
                  <c:v>220</c:v>
                </c:pt>
                <c:pt idx="24">
                  <c:v>195</c:v>
                </c:pt>
                <c:pt idx="25">
                  <c:v>210</c:v>
                </c:pt>
                <c:pt idx="26">
                  <c:v>230</c:v>
                </c:pt>
                <c:pt idx="27">
                  <c:v>280</c:v>
                </c:pt>
                <c:pt idx="28">
                  <c:v>290</c:v>
                </c:pt>
                <c:pt idx="29">
                  <c:v>390</c:v>
                </c:pt>
                <c:pt idx="30">
                  <c:v>420</c:v>
                </c:pt>
                <c:pt idx="31">
                  <c:v>330</c:v>
                </c:pt>
                <c:pt idx="32">
                  <c:v>290</c:v>
                </c:pt>
                <c:pt idx="33">
                  <c:v>295</c:v>
                </c:pt>
                <c:pt idx="34">
                  <c:v>280</c:v>
                </c:pt>
                <c:pt idx="35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C6-374B-9E50-EB806C7D73AE}"/>
            </c:ext>
          </c:extLst>
        </c:ser>
        <c:ser>
          <c:idx val="1"/>
          <c:order val="1"/>
          <c:tx>
            <c:strRef>
              <c:f>'Lawn expenses'!$E$1</c:f>
              <c:strCache>
                <c:ptCount val="1"/>
                <c:pt idx="0">
                  <c:v>Moving Average(12)</c:v>
                </c:pt>
              </c:strCache>
            </c:strRef>
          </c:tx>
          <c:spPr>
            <a:ln w="28575" cap="rnd">
              <a:solidFill>
                <a:srgbClr val="F77FDE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'Lawn expenses'!$B$2:$C$49</c:f>
              <c:multiLvlStrCache>
                <c:ptCount val="48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</c:v>
                  </c:pt>
                  <c:pt idx="23">
                    <c:v>December</c:v>
                  </c:pt>
                  <c:pt idx="24">
                    <c:v>January</c:v>
                  </c:pt>
                  <c:pt idx="25">
                    <c:v>February</c:v>
                  </c:pt>
                  <c:pt idx="26">
                    <c:v>March</c:v>
                  </c:pt>
                  <c:pt idx="27">
                    <c:v>April</c:v>
                  </c:pt>
                  <c:pt idx="28">
                    <c:v>May</c:v>
                  </c:pt>
                  <c:pt idx="29">
                    <c:v>June</c:v>
                  </c:pt>
                  <c:pt idx="30">
                    <c:v>July</c:v>
                  </c:pt>
                  <c:pt idx="31">
                    <c:v>August</c:v>
                  </c:pt>
                  <c:pt idx="32">
                    <c:v>September</c:v>
                  </c:pt>
                  <c:pt idx="33">
                    <c:v>October</c:v>
                  </c:pt>
                  <c:pt idx="34">
                    <c:v>November</c:v>
                  </c:pt>
                  <c:pt idx="35">
                    <c:v>December</c:v>
                  </c:pt>
                  <c:pt idx="36">
                    <c:v>January</c:v>
                  </c:pt>
                  <c:pt idx="37">
                    <c:v>February</c:v>
                  </c:pt>
                  <c:pt idx="38">
                    <c:v>March</c:v>
                  </c:pt>
                  <c:pt idx="39">
                    <c:v>April</c:v>
                  </c:pt>
                  <c:pt idx="40">
                    <c:v>May</c:v>
                  </c:pt>
                  <c:pt idx="41">
                    <c:v>June</c:v>
                  </c:pt>
                  <c:pt idx="42">
                    <c:v>July</c:v>
                  </c:pt>
                  <c:pt idx="43">
                    <c:v>August</c:v>
                  </c:pt>
                  <c:pt idx="44">
                    <c:v>September</c:v>
                  </c:pt>
                  <c:pt idx="45">
                    <c:v>October</c:v>
                  </c:pt>
                  <c:pt idx="46">
                    <c:v>November</c:v>
                  </c:pt>
                  <c:pt idx="47">
                    <c:v>December</c:v>
                  </c:pt>
                </c:lvl>
                <c:lvl>
                  <c:pt idx="0">
                    <c:v>1</c:v>
                  </c:pt>
                  <c:pt idx="12">
                    <c:v>2</c:v>
                  </c:pt>
                  <c:pt idx="24">
                    <c:v>3</c:v>
                  </c:pt>
                  <c:pt idx="36">
                    <c:v>4</c:v>
                  </c:pt>
                </c:lvl>
              </c:multiLvlStrCache>
            </c:multiLvlStrRef>
          </c:cat>
          <c:val>
            <c:numRef>
              <c:f>'Lawn expenses'!$E$2:$E$49</c:f>
              <c:numCache>
                <c:formatCode>General</c:formatCode>
                <c:ptCount val="48"/>
                <c:pt idx="6">
                  <c:v>241.25</c:v>
                </c:pt>
                <c:pt idx="7">
                  <c:v>242.08333333333334</c:v>
                </c:pt>
                <c:pt idx="8">
                  <c:v>244.16666666666666</c:v>
                </c:pt>
                <c:pt idx="9">
                  <c:v>245</c:v>
                </c:pt>
                <c:pt idx="10">
                  <c:v>246.25</c:v>
                </c:pt>
                <c:pt idx="11">
                  <c:v>248.33333333333334</c:v>
                </c:pt>
                <c:pt idx="12">
                  <c:v>249.58333333333334</c:v>
                </c:pt>
                <c:pt idx="13">
                  <c:v>252.91666666666666</c:v>
                </c:pt>
                <c:pt idx="14">
                  <c:v>256.66666666666669</c:v>
                </c:pt>
                <c:pt idx="15">
                  <c:v>258.33333333333331</c:v>
                </c:pt>
                <c:pt idx="16">
                  <c:v>260.83333333333331</c:v>
                </c:pt>
                <c:pt idx="17">
                  <c:v>262.91666666666669</c:v>
                </c:pt>
                <c:pt idx="18">
                  <c:v>265</c:v>
                </c:pt>
                <c:pt idx="19">
                  <c:v>266.25</c:v>
                </c:pt>
                <c:pt idx="20">
                  <c:v>266.66666666666669</c:v>
                </c:pt>
                <c:pt idx="21">
                  <c:v>267.91666666666669</c:v>
                </c:pt>
                <c:pt idx="22">
                  <c:v>270.83333333333331</c:v>
                </c:pt>
                <c:pt idx="23">
                  <c:v>272.91666666666669</c:v>
                </c:pt>
                <c:pt idx="24">
                  <c:v>277.91666666666669</c:v>
                </c:pt>
                <c:pt idx="25">
                  <c:v>279.58333333333331</c:v>
                </c:pt>
                <c:pt idx="26">
                  <c:v>279.16666666666669</c:v>
                </c:pt>
                <c:pt idx="27">
                  <c:v>281.66666666666669</c:v>
                </c:pt>
                <c:pt idx="28">
                  <c:v>283.75</c:v>
                </c:pt>
                <c:pt idx="29">
                  <c:v>285.83333333333331</c:v>
                </c:pt>
                <c:pt idx="30">
                  <c:v>288.33333333333331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A5-A048-A8A0-360AF642081D}"/>
            </c:ext>
          </c:extLst>
        </c:ser>
        <c:ser>
          <c:idx val="5"/>
          <c:order val="2"/>
          <c:tx>
            <c:strRef>
              <c:f>'Lawn expenses'!$J$1</c:f>
              <c:strCache>
                <c:ptCount val="1"/>
                <c:pt idx="0">
                  <c:v>Forecast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'Lawn expenses'!$B$2:$C$49</c:f>
              <c:multiLvlStrCache>
                <c:ptCount val="48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</c:v>
                  </c:pt>
                  <c:pt idx="23">
                    <c:v>December</c:v>
                  </c:pt>
                  <c:pt idx="24">
                    <c:v>January</c:v>
                  </c:pt>
                  <c:pt idx="25">
                    <c:v>February</c:v>
                  </c:pt>
                  <c:pt idx="26">
                    <c:v>March</c:v>
                  </c:pt>
                  <c:pt idx="27">
                    <c:v>April</c:v>
                  </c:pt>
                  <c:pt idx="28">
                    <c:v>May</c:v>
                  </c:pt>
                  <c:pt idx="29">
                    <c:v>June</c:v>
                  </c:pt>
                  <c:pt idx="30">
                    <c:v>July</c:v>
                  </c:pt>
                  <c:pt idx="31">
                    <c:v>August</c:v>
                  </c:pt>
                  <c:pt idx="32">
                    <c:v>September</c:v>
                  </c:pt>
                  <c:pt idx="33">
                    <c:v>October</c:v>
                  </c:pt>
                  <c:pt idx="34">
                    <c:v>November</c:v>
                  </c:pt>
                  <c:pt idx="35">
                    <c:v>December</c:v>
                  </c:pt>
                  <c:pt idx="36">
                    <c:v>January</c:v>
                  </c:pt>
                  <c:pt idx="37">
                    <c:v>February</c:v>
                  </c:pt>
                  <c:pt idx="38">
                    <c:v>March</c:v>
                  </c:pt>
                  <c:pt idx="39">
                    <c:v>April</c:v>
                  </c:pt>
                  <c:pt idx="40">
                    <c:v>May</c:v>
                  </c:pt>
                  <c:pt idx="41">
                    <c:v>June</c:v>
                  </c:pt>
                  <c:pt idx="42">
                    <c:v>July</c:v>
                  </c:pt>
                  <c:pt idx="43">
                    <c:v>August</c:v>
                  </c:pt>
                  <c:pt idx="44">
                    <c:v>September</c:v>
                  </c:pt>
                  <c:pt idx="45">
                    <c:v>October</c:v>
                  </c:pt>
                  <c:pt idx="46">
                    <c:v>November</c:v>
                  </c:pt>
                  <c:pt idx="47">
                    <c:v>December</c:v>
                  </c:pt>
                </c:lvl>
                <c:lvl>
                  <c:pt idx="0">
                    <c:v>1</c:v>
                  </c:pt>
                  <c:pt idx="12">
                    <c:v>2</c:v>
                  </c:pt>
                  <c:pt idx="24">
                    <c:v>3</c:v>
                  </c:pt>
                  <c:pt idx="36">
                    <c:v>4</c:v>
                  </c:pt>
                </c:lvl>
              </c:multiLvlStrCache>
            </c:multiLvlStrRef>
          </c:cat>
          <c:val>
            <c:numRef>
              <c:f>'Lawn expenses'!$J$2:$J$49</c:f>
              <c:numCache>
                <c:formatCode>General</c:formatCode>
                <c:ptCount val="48"/>
                <c:pt idx="0">
                  <c:v>163.50113091722937</c:v>
                </c:pt>
                <c:pt idx="1">
                  <c:v>180.97012391952123</c:v>
                </c:pt>
                <c:pt idx="2">
                  <c:v>194.15998938671083</c:v>
                </c:pt>
                <c:pt idx="3">
                  <c:v>228.87617126330585</c:v>
                </c:pt>
                <c:pt idx="4">
                  <c:v>242.11359493695144</c:v>
                </c:pt>
                <c:pt idx="5">
                  <c:v>313.75183075089933</c:v>
                </c:pt>
                <c:pt idx="6">
                  <c:v>358.8756930976682</c:v>
                </c:pt>
                <c:pt idx="7">
                  <c:v>298.9529033670068</c:v>
                </c:pt>
                <c:pt idx="8">
                  <c:v>240.21552634511627</c:v>
                </c:pt>
                <c:pt idx="9">
                  <c:v>245.75861426776567</c:v>
                </c:pt>
                <c:pt idx="10">
                  <c:v>233.75433644550421</c:v>
                </c:pt>
                <c:pt idx="11">
                  <c:v>199.87996175950519</c:v>
                </c:pt>
                <c:pt idx="12">
                  <c:v>180.09999495619664</c:v>
                </c:pt>
                <c:pt idx="13">
                  <c:v>199.18833641338406</c:v>
                </c:pt>
                <c:pt idx="14">
                  <c:v>213.54341168658954</c:v>
                </c:pt>
                <c:pt idx="15">
                  <c:v>251.53686471160012</c:v>
                </c:pt>
                <c:pt idx="16">
                  <c:v>265.88874436999635</c:v>
                </c:pt>
                <c:pt idx="17">
                  <c:v>344.31165794580312</c:v>
                </c:pt>
                <c:pt idx="18">
                  <c:v>393.54920484170549</c:v>
                </c:pt>
                <c:pt idx="19">
                  <c:v>327.60615240651504</c:v>
                </c:pt>
                <c:pt idx="20">
                  <c:v>263.05663572942524</c:v>
                </c:pt>
                <c:pt idx="21">
                  <c:v>268.94308347725786</c:v>
                </c:pt>
                <c:pt idx="22">
                  <c:v>255.63433127858357</c:v>
                </c:pt>
                <c:pt idx="23">
                  <c:v>218.44442307977064</c:v>
                </c:pt>
                <c:pt idx="24">
                  <c:v>196.69885899516393</c:v>
                </c:pt>
                <c:pt idx="25">
                  <c:v>217.40654890724687</c:v>
                </c:pt>
                <c:pt idx="26">
                  <c:v>232.92683398646824</c:v>
                </c:pt>
                <c:pt idx="27">
                  <c:v>274.19755815989436</c:v>
                </c:pt>
                <c:pt idx="28">
                  <c:v>289.66389380304128</c:v>
                </c:pt>
                <c:pt idx="29">
                  <c:v>374.8714851407068</c:v>
                </c:pt>
                <c:pt idx="30">
                  <c:v>428.22271658574289</c:v>
                </c:pt>
                <c:pt idx="31">
                  <c:v>356.25940144602333</c:v>
                </c:pt>
                <c:pt idx="32">
                  <c:v>285.89774511373423</c:v>
                </c:pt>
                <c:pt idx="33">
                  <c:v>292.12755268675011</c:v>
                </c:pt>
                <c:pt idx="34">
                  <c:v>277.51432611166291</c:v>
                </c:pt>
                <c:pt idx="35">
                  <c:v>237.0088844000361</c:v>
                </c:pt>
                <c:pt idx="36">
                  <c:v>213.2977230341312</c:v>
                </c:pt>
                <c:pt idx="37">
                  <c:v>235.62476140110977</c:v>
                </c:pt>
                <c:pt idx="38">
                  <c:v>252.310256286347</c:v>
                </c:pt>
                <c:pt idx="39">
                  <c:v>296.85825160818871</c:v>
                </c:pt>
                <c:pt idx="40">
                  <c:v>313.43904323608626</c:v>
                </c:pt>
                <c:pt idx="41">
                  <c:v>405.43131233561047</c:v>
                </c:pt>
                <c:pt idx="42">
                  <c:v>462.89622832978017</c:v>
                </c:pt>
                <c:pt idx="43">
                  <c:v>384.91265048553151</c:v>
                </c:pt>
                <c:pt idx="44">
                  <c:v>308.73885449804328</c:v>
                </c:pt>
                <c:pt idx="45">
                  <c:v>315.3120218962423</c:v>
                </c:pt>
                <c:pt idx="46">
                  <c:v>299.39432094474233</c:v>
                </c:pt>
                <c:pt idx="47">
                  <c:v>255.57334572030157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CA5-A048-A8A0-360AF642081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014149263"/>
        <c:axId val="2048210111"/>
      </c:lineChart>
      <c:catAx>
        <c:axId val="2014149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>
                    <a:solidFill>
                      <a:schemeClr val="tx1"/>
                    </a:solidFill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210111"/>
        <c:crosses val="autoZero"/>
        <c:auto val="1"/>
        <c:lblAlgn val="ctr"/>
        <c:lblOffset val="100"/>
        <c:noMultiLvlLbl val="0"/>
      </c:catAx>
      <c:valAx>
        <c:axId val="204821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>
                    <a:solidFill>
                      <a:schemeClr val="tx1"/>
                    </a:solidFill>
                  </a:rPr>
                  <a:t>EXPENSES</a:t>
                </a:r>
              </a:p>
            </c:rich>
          </c:tx>
          <c:layout>
            <c:manualLayout>
              <c:xMode val="edge"/>
              <c:yMode val="edge"/>
              <c:x val="9.4151196690128273E-3"/>
              <c:y val="0.335306859009918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149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Deseasonalize</c:v>
          </c:tx>
          <c:spPr>
            <a:ln w="19050">
              <a:noFill/>
            </a:ln>
          </c:spPr>
          <c:xVal>
            <c:numRef>
              <c:f>'Ski Lodge Visitors'!$A$2:$A$29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xVal>
          <c:yVal>
            <c:numRef>
              <c:f>'Ski Lodge Visitors'!$I$2:$I$29</c:f>
              <c:numCache>
                <c:formatCode>General</c:formatCode>
                <c:ptCount val="28"/>
                <c:pt idx="0">
                  <c:v>71.893259146714428</c:v>
                </c:pt>
                <c:pt idx="1">
                  <c:v>61.17224002030617</c:v>
                </c:pt>
                <c:pt idx="2">
                  <c:v>44.776403635062621</c:v>
                </c:pt>
                <c:pt idx="3">
                  <c:v>82.666735720003459</c:v>
                </c:pt>
                <c:pt idx="4">
                  <c:v>88.612621738973601</c:v>
                </c:pt>
                <c:pt idx="5">
                  <c:v>80.905220672017833</c:v>
                </c:pt>
                <c:pt idx="6">
                  <c:v>76.759549088678781</c:v>
                </c:pt>
                <c:pt idx="7">
                  <c:v>100.25540289447227</c:v>
                </c:pt>
                <c:pt idx="8">
                  <c:v>117.03553814581419</c:v>
                </c:pt>
                <c:pt idx="9">
                  <c:v>118.39788391027001</c:v>
                </c:pt>
                <c:pt idx="10">
                  <c:v>131.13089635982627</c:v>
                </c:pt>
                <c:pt idx="11">
                  <c:v>135.43273724340992</c:v>
                </c:pt>
                <c:pt idx="12">
                  <c:v>135.42683699729926</c:v>
                </c:pt>
                <c:pt idx="13">
                  <c:v>138.13086456198167</c:v>
                </c:pt>
                <c:pt idx="14">
                  <c:v>159.91572726808079</c:v>
                </c:pt>
                <c:pt idx="15">
                  <c:v>153.02140441787873</c:v>
                </c:pt>
                <c:pt idx="16">
                  <c:v>157.16200836723618</c:v>
                </c:pt>
                <c:pt idx="17">
                  <c:v>169.70363360472035</c:v>
                </c:pt>
                <c:pt idx="18">
                  <c:v>204.69213090314344</c:v>
                </c:pt>
                <c:pt idx="19">
                  <c:v>174.12780502724132</c:v>
                </c:pt>
                <c:pt idx="20">
                  <c:v>173.88137095949534</c:v>
                </c:pt>
                <c:pt idx="21">
                  <c:v>199.30310458228783</c:v>
                </c:pt>
                <c:pt idx="22">
                  <c:v>246.27021999284443</c:v>
                </c:pt>
                <c:pt idx="23">
                  <c:v>193.47533891915702</c:v>
                </c:pt>
                <c:pt idx="24">
                  <c:v>205.64815988478779</c:v>
                </c:pt>
                <c:pt idx="25">
                  <c:v>236.79576782054002</c:v>
                </c:pt>
                <c:pt idx="26">
                  <c:v>303.83988180935353</c:v>
                </c:pt>
                <c:pt idx="27">
                  <c:v>221.61720639830713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204-CB40-8CB2-4F7D6E5853B0}"/>
            </c:ext>
          </c:extLst>
        </c:ser>
        <c:ser>
          <c:idx val="1"/>
          <c:order val="1"/>
          <c:tx>
            <c:v>Predicted Deseasonalize</c:v>
          </c:tx>
          <c:spPr>
            <a:ln w="19050">
              <a:noFill/>
            </a:ln>
          </c:spPr>
          <c:xVal>
            <c:numRef>
              <c:f>'Ski Lodge Visitors'!$A$2:$A$29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xVal>
          <c:yVal>
            <c:numRef>
              <c:f>'Ski Regression'!$B$25:$B$52</c:f>
              <c:numCache>
                <c:formatCode>General</c:formatCode>
                <c:ptCount val="28"/>
                <c:pt idx="0">
                  <c:v>51.212125029176136</c:v>
                </c:pt>
                <c:pt idx="1">
                  <c:v>58.482258492861241</c:v>
                </c:pt>
                <c:pt idx="2">
                  <c:v>65.752391956546347</c:v>
                </c:pt>
                <c:pt idx="3">
                  <c:v>73.02252542023146</c:v>
                </c:pt>
                <c:pt idx="4">
                  <c:v>80.292658883916573</c:v>
                </c:pt>
                <c:pt idx="5">
                  <c:v>87.562792347601686</c:v>
                </c:pt>
                <c:pt idx="6">
                  <c:v>94.832925811286799</c:v>
                </c:pt>
                <c:pt idx="7">
                  <c:v>102.10305927497191</c:v>
                </c:pt>
                <c:pt idx="8">
                  <c:v>109.37319273865701</c:v>
                </c:pt>
                <c:pt idx="9">
                  <c:v>116.64332620234212</c:v>
                </c:pt>
                <c:pt idx="10">
                  <c:v>123.91345966602724</c:v>
                </c:pt>
                <c:pt idx="11">
                  <c:v>131.18359312971234</c:v>
                </c:pt>
                <c:pt idx="12">
                  <c:v>138.45372659339745</c:v>
                </c:pt>
                <c:pt idx="13">
                  <c:v>145.72386005708256</c:v>
                </c:pt>
                <c:pt idx="14">
                  <c:v>152.99399352076767</c:v>
                </c:pt>
                <c:pt idx="15">
                  <c:v>160.26412698445279</c:v>
                </c:pt>
                <c:pt idx="16">
                  <c:v>167.5342604481379</c:v>
                </c:pt>
                <c:pt idx="17">
                  <c:v>174.80439391182301</c:v>
                </c:pt>
                <c:pt idx="18">
                  <c:v>182.07452737550813</c:v>
                </c:pt>
                <c:pt idx="19">
                  <c:v>189.34466083919324</c:v>
                </c:pt>
                <c:pt idx="20">
                  <c:v>196.61479430287835</c:v>
                </c:pt>
                <c:pt idx="21">
                  <c:v>203.88492776656346</c:v>
                </c:pt>
                <c:pt idx="22">
                  <c:v>211.15506123024858</c:v>
                </c:pt>
                <c:pt idx="23">
                  <c:v>218.42519469393369</c:v>
                </c:pt>
                <c:pt idx="24">
                  <c:v>225.6953281576188</c:v>
                </c:pt>
                <c:pt idx="25">
                  <c:v>232.96546162130392</c:v>
                </c:pt>
                <c:pt idx="26">
                  <c:v>240.23559508498897</c:v>
                </c:pt>
                <c:pt idx="27">
                  <c:v>247.50572854867409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204-CB40-8CB2-4F7D6E5853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9382575"/>
        <c:axId val="1815978735"/>
      </c:scatterChart>
      <c:valAx>
        <c:axId val="18193825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15978735"/>
        <c:crosses val="autoZero"/>
        <c:crossBetween val="midCat"/>
      </c:valAx>
      <c:valAx>
        <c:axId val="181597873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Deseasonalize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1938257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Deseasonalize</c:v>
          </c:tx>
          <c:spPr>
            <a:ln w="19050">
              <a:noFill/>
            </a:ln>
          </c:spPr>
          <c:xVal>
            <c:numRef>
              <c:f>'Lawn expenses'!$A$2:$A$37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'Lawn expenses'!$H$2:$H$37</c:f>
              <c:numCache>
                <c:formatCode>General</c:formatCode>
                <c:ptCount val="36"/>
                <c:pt idx="0">
                  <c:v>238.95682491433237</c:v>
                </c:pt>
                <c:pt idx="1">
                  <c:v>230.52372417696441</c:v>
                </c:pt>
                <c:pt idx="2">
                  <c:v>246.75859494394476</c:v>
                </c:pt>
                <c:pt idx="3">
                  <c:v>236.81190181396536</c:v>
                </c:pt>
                <c:pt idx="4">
                  <c:v>235.52492368889932</c:v>
                </c:pt>
                <c:pt idx="5">
                  <c:v>240.4963807225856</c:v>
                </c:pt>
                <c:pt idx="6">
                  <c:v>242.2442943152291</c:v>
                </c:pt>
                <c:pt idx="7">
                  <c:v>236.14187579781284</c:v>
                </c:pt>
                <c:pt idx="8">
                  <c:v>245.15622957249312</c:v>
                </c:pt>
                <c:pt idx="9">
                  <c:v>241.52548869298582</c:v>
                </c:pt>
                <c:pt idx="10">
                  <c:v>245.26157125963923</c:v>
                </c:pt>
                <c:pt idx="11">
                  <c:v>245.07620390581238</c:v>
                </c:pt>
                <c:pt idx="12">
                  <c:v>253.0131087328225</c:v>
                </c:pt>
                <c:pt idx="13">
                  <c:v>262.54090809043169</c:v>
                </c:pt>
                <c:pt idx="14">
                  <c:v>258.79559957535668</c:v>
                </c:pt>
                <c:pt idx="15">
                  <c:v>252.25615628009353</c:v>
                </c:pt>
                <c:pt idx="16">
                  <c:v>260.05876990649301</c:v>
                </c:pt>
                <c:pt idx="17">
                  <c:v>251.948589328423</c:v>
                </c:pt>
                <c:pt idx="18">
                  <c:v>269.1603270169212</c:v>
                </c:pt>
                <c:pt idx="19">
                  <c:v>272.78458066299072</c:v>
                </c:pt>
                <c:pt idx="20">
                  <c:v>265.58591537020089</c:v>
                </c:pt>
                <c:pt idx="21">
                  <c:v>271.71617477960905</c:v>
                </c:pt>
                <c:pt idx="22">
                  <c:v>271.92043770090436</c:v>
                </c:pt>
                <c:pt idx="23">
                  <c:v>276.4962300475832</c:v>
                </c:pt>
                <c:pt idx="24">
                  <c:v>274.09753446055771</c:v>
                </c:pt>
                <c:pt idx="25">
                  <c:v>268.94434487312515</c:v>
                </c:pt>
                <c:pt idx="26">
                  <c:v>276.85110652247459</c:v>
                </c:pt>
                <c:pt idx="27">
                  <c:v>288.29275003439261</c:v>
                </c:pt>
                <c:pt idx="28">
                  <c:v>284.5926161240867</c:v>
                </c:pt>
                <c:pt idx="29">
                  <c:v>297.75742375177265</c:v>
                </c:pt>
                <c:pt idx="30">
                  <c:v>282.6183433677673</c:v>
                </c:pt>
                <c:pt idx="31">
                  <c:v>268.71316901130427</c:v>
                </c:pt>
                <c:pt idx="32">
                  <c:v>296.23044406676252</c:v>
                </c:pt>
                <c:pt idx="33">
                  <c:v>296.87507985179508</c:v>
                </c:pt>
                <c:pt idx="34">
                  <c:v>298.57930414216946</c:v>
                </c:pt>
                <c:pt idx="35">
                  <c:v>314.20026141770813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E1F-D24E-A6F6-AA8D7835CB66}"/>
            </c:ext>
          </c:extLst>
        </c:ser>
        <c:ser>
          <c:idx val="1"/>
          <c:order val="1"/>
          <c:tx>
            <c:v>Predicted Deseasonalize</c:v>
          </c:tx>
          <c:spPr>
            <a:ln w="19050">
              <a:noFill/>
            </a:ln>
          </c:spPr>
          <c:xVal>
            <c:numRef>
              <c:f>'Lawn expenses'!$A$2:$A$37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'Lawn Regression'!$B$25:$B$60</c:f>
              <c:numCache>
                <c:formatCode>General</c:formatCode>
                <c:ptCount val="36"/>
                <c:pt idx="0">
                  <c:v>229.82183008166891</c:v>
                </c:pt>
                <c:pt idx="1">
                  <c:v>231.766149614971</c:v>
                </c:pt>
                <c:pt idx="2">
                  <c:v>233.71046914827312</c:v>
                </c:pt>
                <c:pt idx="3">
                  <c:v>235.65478868157524</c:v>
                </c:pt>
                <c:pt idx="4">
                  <c:v>237.59910821487736</c:v>
                </c:pt>
                <c:pt idx="5">
                  <c:v>239.54342774817945</c:v>
                </c:pt>
                <c:pt idx="6">
                  <c:v>241.48774728148157</c:v>
                </c:pt>
                <c:pt idx="7">
                  <c:v>243.4320668147837</c:v>
                </c:pt>
                <c:pt idx="8">
                  <c:v>245.37638634808582</c:v>
                </c:pt>
                <c:pt idx="9">
                  <c:v>247.32070588138791</c:v>
                </c:pt>
                <c:pt idx="10">
                  <c:v>249.26502541469003</c:v>
                </c:pt>
                <c:pt idx="11">
                  <c:v>251.20934494799215</c:v>
                </c:pt>
                <c:pt idx="12">
                  <c:v>253.15366448129424</c:v>
                </c:pt>
                <c:pt idx="13">
                  <c:v>255.09798401459636</c:v>
                </c:pt>
                <c:pt idx="14">
                  <c:v>257.04230354789848</c:v>
                </c:pt>
                <c:pt idx="15">
                  <c:v>258.98662308120061</c:v>
                </c:pt>
                <c:pt idx="16">
                  <c:v>260.93094261450273</c:v>
                </c:pt>
                <c:pt idx="17">
                  <c:v>262.87526214780485</c:v>
                </c:pt>
                <c:pt idx="18">
                  <c:v>264.81958168110691</c:v>
                </c:pt>
                <c:pt idx="19">
                  <c:v>266.76390121440903</c:v>
                </c:pt>
                <c:pt idx="20">
                  <c:v>268.70822074771115</c:v>
                </c:pt>
                <c:pt idx="21">
                  <c:v>270.65254028101327</c:v>
                </c:pt>
                <c:pt idx="22">
                  <c:v>272.59685981431539</c:v>
                </c:pt>
                <c:pt idx="23">
                  <c:v>274.54117934761751</c:v>
                </c:pt>
                <c:pt idx="24">
                  <c:v>276.48549888091964</c:v>
                </c:pt>
                <c:pt idx="25">
                  <c:v>278.4298184142217</c:v>
                </c:pt>
                <c:pt idx="26">
                  <c:v>280.37413794752382</c:v>
                </c:pt>
                <c:pt idx="27">
                  <c:v>282.31845748082594</c:v>
                </c:pt>
                <c:pt idx="28">
                  <c:v>284.26277701412806</c:v>
                </c:pt>
                <c:pt idx="29">
                  <c:v>286.20709654743018</c:v>
                </c:pt>
                <c:pt idx="30">
                  <c:v>288.1514160807323</c:v>
                </c:pt>
                <c:pt idx="31">
                  <c:v>290.09573561403442</c:v>
                </c:pt>
                <c:pt idx="32">
                  <c:v>292.04005514733649</c:v>
                </c:pt>
                <c:pt idx="33">
                  <c:v>293.98437468063867</c:v>
                </c:pt>
                <c:pt idx="34">
                  <c:v>295.92869421394073</c:v>
                </c:pt>
                <c:pt idx="35">
                  <c:v>297.87301374724285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E1F-D24E-A6F6-AA8D7835CB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8343727"/>
        <c:axId val="668643775"/>
      </c:scatterChart>
      <c:valAx>
        <c:axId val="6683437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68643775"/>
        <c:crosses val="autoZero"/>
        <c:crossBetween val="midCat"/>
      </c:valAx>
      <c:valAx>
        <c:axId val="66864377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Deseasonalize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6834372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101600</xdr:colOff>
      <xdr:row>2</xdr:row>
      <xdr:rowOff>25400</xdr:rowOff>
    </xdr:from>
    <xdr:to>
      <xdr:col>23</xdr:col>
      <xdr:colOff>406400</xdr:colOff>
      <xdr:row>28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67B494-13B4-E06F-552C-5FA71B5231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101600</xdr:colOff>
      <xdr:row>2</xdr:row>
      <xdr:rowOff>76200</xdr:rowOff>
    </xdr:from>
    <xdr:to>
      <xdr:col>23</xdr:col>
      <xdr:colOff>317500</xdr:colOff>
      <xdr:row>38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798AA0E-730C-E87E-C6BD-B31595BC03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279400</xdr:colOff>
      <xdr:row>1</xdr:row>
      <xdr:rowOff>63500</xdr:rowOff>
    </xdr:from>
    <xdr:to>
      <xdr:col>16</xdr:col>
      <xdr:colOff>558800</xdr:colOff>
      <xdr:row>15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1E0F6B-CE5F-4075-7967-718E2BC94C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279400</xdr:colOff>
      <xdr:row>1</xdr:row>
      <xdr:rowOff>63500</xdr:rowOff>
    </xdr:from>
    <xdr:to>
      <xdr:col>15</xdr:col>
      <xdr:colOff>279400</xdr:colOff>
      <xdr:row>11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1E9E06-E7FB-D133-0137-391BD0685B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9E430-79C2-3649-BADD-177F864CA743}">
  <dimension ref="A1:N36"/>
  <sheetViews>
    <sheetView tabSelected="1" zoomScaleNormal="100" workbookViewId="0">
      <selection activeCell="S34" sqref="S34"/>
    </sheetView>
  </sheetViews>
  <sheetFormatPr baseColWidth="10" defaultRowHeight="16" x14ac:dyDescent="0.2"/>
  <cols>
    <col min="1" max="1" width="3.1640625" customWidth="1"/>
    <col min="2" max="2" width="6" customWidth="1"/>
    <col min="3" max="4" width="7.1640625" customWidth="1"/>
    <col min="6" max="6" width="10.33203125" customWidth="1"/>
    <col min="7" max="7" width="10.1640625" customWidth="1"/>
    <col min="9" max="9" width="12.83203125" customWidth="1"/>
    <col min="12" max="12" width="9" customWidth="1"/>
  </cols>
  <sheetData>
    <row r="1" spans="1:14" ht="51" x14ac:dyDescent="0.2">
      <c r="A1" s="1" t="s">
        <v>27</v>
      </c>
      <c r="B1" s="1" t="s">
        <v>13</v>
      </c>
      <c r="C1" s="1" t="s">
        <v>15</v>
      </c>
      <c r="D1" s="1" t="s">
        <v>16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25</v>
      </c>
      <c r="J1" s="2" t="s">
        <v>26</v>
      </c>
      <c r="K1" s="2" t="s">
        <v>58</v>
      </c>
      <c r="L1" s="2" t="s">
        <v>59</v>
      </c>
      <c r="M1" s="2" t="s">
        <v>56</v>
      </c>
      <c r="N1" s="2" t="s">
        <v>57</v>
      </c>
    </row>
    <row r="2" spans="1:14" x14ac:dyDescent="0.2">
      <c r="A2">
        <v>1</v>
      </c>
      <c r="B2">
        <v>1999</v>
      </c>
      <c r="C2" t="s">
        <v>17</v>
      </c>
      <c r="D2">
        <v>86</v>
      </c>
      <c r="H2">
        <v>1.196217851586024</v>
      </c>
      <c r="I2">
        <f>D2/H2</f>
        <v>71.893259146714428</v>
      </c>
      <c r="J2">
        <f t="shared" ref="J2:J33" si="0">A2*M$2+N$2</f>
        <v>51.212125029176136</v>
      </c>
      <c r="K2">
        <f>J2*H2</f>
        <v>61.260858177555924</v>
      </c>
      <c r="M2">
        <v>7.2701334636851103</v>
      </c>
      <c r="N2">
        <v>43.941991565491023</v>
      </c>
    </row>
    <row r="3" spans="1:14" x14ac:dyDescent="0.2">
      <c r="A3">
        <v>2</v>
      </c>
      <c r="C3" t="s">
        <v>18</v>
      </c>
      <c r="D3">
        <v>62</v>
      </c>
      <c r="H3">
        <v>1.0135316277353756</v>
      </c>
      <c r="I3">
        <f t="shared" ref="I3:I29" si="1">D3/H3</f>
        <v>61.17224002030617</v>
      </c>
      <c r="J3">
        <f t="shared" si="0"/>
        <v>58.482258492861241</v>
      </c>
      <c r="K3">
        <f t="shared" ref="K3:K33" si="2">J3*H3</f>
        <v>59.273618643910652</v>
      </c>
    </row>
    <row r="4" spans="1:14" x14ac:dyDescent="0.2">
      <c r="A4">
        <v>3</v>
      </c>
      <c r="C4" t="s">
        <v>19</v>
      </c>
      <c r="D4">
        <v>28</v>
      </c>
      <c r="E4">
        <f>AVERAGE(D2:D5)</f>
        <v>67.5</v>
      </c>
      <c r="F4">
        <f>AVERAGE(E4:E5)</f>
        <v>70</v>
      </c>
      <c r="G4">
        <f>D4/F4</f>
        <v>0.4</v>
      </c>
      <c r="H4">
        <f>AVERAGE(G4,G8,G12,G16,G20,G24)</f>
        <v>0.62532936383649873</v>
      </c>
      <c r="I4">
        <f t="shared" si="1"/>
        <v>44.776403635062621</v>
      </c>
      <c r="J4">
        <f t="shared" si="0"/>
        <v>65.752391956546347</v>
      </c>
      <c r="K4">
        <f t="shared" si="2"/>
        <v>41.116901432915242</v>
      </c>
    </row>
    <row r="5" spans="1:14" x14ac:dyDescent="0.2">
      <c r="A5">
        <v>4</v>
      </c>
      <c r="C5" t="s">
        <v>20</v>
      </c>
      <c r="D5">
        <v>94</v>
      </c>
      <c r="E5">
        <f>AVERAGE(D3:D6)</f>
        <v>72.5</v>
      </c>
      <c r="F5">
        <f>AVERAGE(E5:E6)</f>
        <v>75</v>
      </c>
      <c r="G5">
        <f t="shared" ref="G5:G27" si="3">D5/F5</f>
        <v>1.2533333333333334</v>
      </c>
      <c r="H5">
        <f>AVERAGE(G5,G9,G13,G17,G21,G25)</f>
        <v>1.1370958243516824</v>
      </c>
      <c r="I5">
        <f t="shared" si="1"/>
        <v>82.666735720003459</v>
      </c>
      <c r="J5">
        <f t="shared" si="0"/>
        <v>73.02252542023146</v>
      </c>
      <c r="K5">
        <f t="shared" si="2"/>
        <v>83.033608738959785</v>
      </c>
    </row>
    <row r="6" spans="1:14" x14ac:dyDescent="0.2">
      <c r="A6">
        <v>5</v>
      </c>
      <c r="B6">
        <v>2000</v>
      </c>
      <c r="C6" t="s">
        <v>17</v>
      </c>
      <c r="D6">
        <v>106</v>
      </c>
      <c r="E6">
        <f t="shared" ref="E6:E28" si="4">AVERAGE(D4:D7)</f>
        <v>77.5</v>
      </c>
      <c r="F6">
        <f t="shared" ref="F6:F27" si="5">AVERAGE(E6:E7)</f>
        <v>80</v>
      </c>
      <c r="G6">
        <f t="shared" si="3"/>
        <v>1.325</v>
      </c>
      <c r="H6">
        <f>AVERAGE(G6,G10,G14,G18,G22,G26)</f>
        <v>1.196217851586024</v>
      </c>
      <c r="I6">
        <f t="shared" si="1"/>
        <v>88.612621738973601</v>
      </c>
      <c r="J6">
        <f t="shared" si="0"/>
        <v>80.292658883916573</v>
      </c>
      <c r="K6">
        <f t="shared" si="2"/>
        <v>96.047511908248168</v>
      </c>
    </row>
    <row r="7" spans="1:14" x14ac:dyDescent="0.2">
      <c r="A7">
        <v>6</v>
      </c>
      <c r="C7" t="s">
        <v>18</v>
      </c>
      <c r="D7">
        <v>82</v>
      </c>
      <c r="E7">
        <f t="shared" si="4"/>
        <v>82.5</v>
      </c>
      <c r="F7">
        <f t="shared" si="5"/>
        <v>85</v>
      </c>
      <c r="G7">
        <f t="shared" si="3"/>
        <v>0.96470588235294119</v>
      </c>
      <c r="H7">
        <f>AVERAGE(G7,G11,G15,G19,G23,G27)</f>
        <v>1.0135316277353756</v>
      </c>
      <c r="I7">
        <f t="shared" si="1"/>
        <v>80.905220672017833</v>
      </c>
      <c r="J7">
        <f t="shared" si="0"/>
        <v>87.562792347601686</v>
      </c>
      <c r="K7">
        <f t="shared" si="2"/>
        <v>88.747659457119425</v>
      </c>
    </row>
    <row r="8" spans="1:14" x14ac:dyDescent="0.2">
      <c r="A8">
        <v>7</v>
      </c>
      <c r="C8" t="s">
        <v>19</v>
      </c>
      <c r="D8">
        <v>48</v>
      </c>
      <c r="E8">
        <f t="shared" si="4"/>
        <v>87.5</v>
      </c>
      <c r="F8">
        <f t="shared" si="5"/>
        <v>91.75</v>
      </c>
      <c r="G8">
        <f t="shared" si="3"/>
        <v>0.52316076294277924</v>
      </c>
      <c r="H8">
        <v>0.62532936383649873</v>
      </c>
      <c r="I8">
        <f t="shared" si="1"/>
        <v>76.759549088678781</v>
      </c>
      <c r="J8">
        <f t="shared" si="0"/>
        <v>94.832925811286799</v>
      </c>
      <c r="K8">
        <f t="shared" si="2"/>
        <v>59.301813168325857</v>
      </c>
    </row>
    <row r="9" spans="1:14" x14ac:dyDescent="0.2">
      <c r="A9">
        <v>8</v>
      </c>
      <c r="C9" t="s">
        <v>20</v>
      </c>
      <c r="D9">
        <v>114</v>
      </c>
      <c r="E9">
        <f t="shared" si="4"/>
        <v>96</v>
      </c>
      <c r="F9">
        <f t="shared" si="5"/>
        <v>100.75</v>
      </c>
      <c r="G9">
        <f t="shared" si="3"/>
        <v>1.1315136476426799</v>
      </c>
      <c r="H9">
        <v>1.1370958243516824</v>
      </c>
      <c r="I9">
        <f t="shared" si="1"/>
        <v>100.25540289447227</v>
      </c>
      <c r="J9">
        <f t="shared" si="0"/>
        <v>102.10305927497191</v>
      </c>
      <c r="K9">
        <f t="shared" si="2"/>
        <v>116.10096235510288</v>
      </c>
    </row>
    <row r="10" spans="1:14" x14ac:dyDescent="0.2">
      <c r="A10">
        <v>9</v>
      </c>
      <c r="B10">
        <v>2001</v>
      </c>
      <c r="C10" t="s">
        <v>17</v>
      </c>
      <c r="D10">
        <v>140</v>
      </c>
      <c r="E10">
        <f t="shared" si="4"/>
        <v>105.5</v>
      </c>
      <c r="F10">
        <f t="shared" si="5"/>
        <v>109.75</v>
      </c>
      <c r="G10">
        <f t="shared" si="3"/>
        <v>1.2756264236902051</v>
      </c>
      <c r="H10">
        <v>1.196217851586024</v>
      </c>
      <c r="I10">
        <f t="shared" si="1"/>
        <v>117.03553814581419</v>
      </c>
      <c r="J10">
        <f t="shared" si="0"/>
        <v>109.37319273865701</v>
      </c>
      <c r="K10">
        <f t="shared" si="2"/>
        <v>130.83416563894042</v>
      </c>
    </row>
    <row r="11" spans="1:14" x14ac:dyDescent="0.2">
      <c r="A11">
        <v>10</v>
      </c>
      <c r="C11" t="s">
        <v>18</v>
      </c>
      <c r="D11">
        <v>120</v>
      </c>
      <c r="E11">
        <f t="shared" si="4"/>
        <v>114</v>
      </c>
      <c r="F11">
        <f t="shared" si="5"/>
        <v>119</v>
      </c>
      <c r="G11">
        <f t="shared" si="3"/>
        <v>1.0084033613445378</v>
      </c>
      <c r="H11">
        <v>1.0135316277353756</v>
      </c>
      <c r="I11">
        <f t="shared" si="1"/>
        <v>118.39788391027001</v>
      </c>
      <c r="J11">
        <f t="shared" si="0"/>
        <v>116.64332620234212</v>
      </c>
      <c r="K11">
        <f t="shared" si="2"/>
        <v>118.2217002703282</v>
      </c>
    </row>
    <row r="12" spans="1:14" x14ac:dyDescent="0.2">
      <c r="A12">
        <v>11</v>
      </c>
      <c r="C12" t="s">
        <v>19</v>
      </c>
      <c r="D12">
        <v>82</v>
      </c>
      <c r="E12">
        <f t="shared" si="4"/>
        <v>124</v>
      </c>
      <c r="F12">
        <f t="shared" si="5"/>
        <v>126.75</v>
      </c>
      <c r="G12">
        <f t="shared" si="3"/>
        <v>0.64694280078895461</v>
      </c>
      <c r="H12">
        <v>0.62532936383649873</v>
      </c>
      <c r="I12">
        <f t="shared" si="1"/>
        <v>131.13089635982627</v>
      </c>
      <c r="J12">
        <f t="shared" si="0"/>
        <v>123.91345966602724</v>
      </c>
      <c r="K12">
        <f t="shared" si="2"/>
        <v>77.486724903736459</v>
      </c>
    </row>
    <row r="13" spans="1:14" x14ac:dyDescent="0.2">
      <c r="A13">
        <v>12</v>
      </c>
      <c r="C13" t="s">
        <v>20</v>
      </c>
      <c r="D13">
        <v>154</v>
      </c>
      <c r="E13">
        <f t="shared" si="4"/>
        <v>129.5</v>
      </c>
      <c r="F13">
        <f t="shared" si="5"/>
        <v>132</v>
      </c>
      <c r="G13">
        <f t="shared" si="3"/>
        <v>1.1666666666666667</v>
      </c>
      <c r="H13">
        <v>1.1370958243516824</v>
      </c>
      <c r="I13">
        <f t="shared" si="1"/>
        <v>135.43273724340992</v>
      </c>
      <c r="J13">
        <f t="shared" si="0"/>
        <v>131.18359312971234</v>
      </c>
      <c r="K13">
        <f t="shared" si="2"/>
        <v>149.16831597124596</v>
      </c>
    </row>
    <row r="14" spans="1:14" x14ac:dyDescent="0.2">
      <c r="A14">
        <v>13</v>
      </c>
      <c r="B14">
        <v>2002</v>
      </c>
      <c r="C14" t="s">
        <v>17</v>
      </c>
      <c r="D14">
        <v>162</v>
      </c>
      <c r="E14">
        <f t="shared" si="4"/>
        <v>134.5</v>
      </c>
      <c r="F14">
        <f t="shared" si="5"/>
        <v>136.75</v>
      </c>
      <c r="G14">
        <f t="shared" si="3"/>
        <v>1.1846435100548447</v>
      </c>
      <c r="H14">
        <v>1.196217851586024</v>
      </c>
      <c r="I14">
        <f t="shared" si="1"/>
        <v>135.42683699729926</v>
      </c>
      <c r="J14">
        <f t="shared" si="0"/>
        <v>138.45372659339745</v>
      </c>
      <c r="K14">
        <f t="shared" si="2"/>
        <v>165.62081936963264</v>
      </c>
    </row>
    <row r="15" spans="1:14" x14ac:dyDescent="0.2">
      <c r="A15">
        <v>14</v>
      </c>
      <c r="C15" t="s">
        <v>18</v>
      </c>
      <c r="D15">
        <v>140</v>
      </c>
      <c r="E15">
        <f t="shared" si="4"/>
        <v>139</v>
      </c>
      <c r="F15">
        <f t="shared" si="5"/>
        <v>141.5</v>
      </c>
      <c r="G15">
        <f t="shared" si="3"/>
        <v>0.98939929328621912</v>
      </c>
      <c r="H15">
        <v>1.0135316277353756</v>
      </c>
      <c r="I15">
        <f t="shared" si="1"/>
        <v>138.13086456198167</v>
      </c>
      <c r="J15">
        <f t="shared" si="0"/>
        <v>145.72386005708256</v>
      </c>
      <c r="K15">
        <f t="shared" si="2"/>
        <v>147.69574108353697</v>
      </c>
    </row>
    <row r="16" spans="1:14" x14ac:dyDescent="0.2">
      <c r="A16">
        <v>15</v>
      </c>
      <c r="C16" t="s">
        <v>19</v>
      </c>
      <c r="D16">
        <v>100</v>
      </c>
      <c r="E16">
        <f t="shared" si="4"/>
        <v>144</v>
      </c>
      <c r="F16">
        <f t="shared" si="5"/>
        <v>147.25</v>
      </c>
      <c r="G16">
        <f t="shared" si="3"/>
        <v>0.6791171477079796</v>
      </c>
      <c r="H16">
        <v>0.62532936383649873</v>
      </c>
      <c r="I16">
        <f t="shared" si="1"/>
        <v>159.91572726808079</v>
      </c>
      <c r="J16">
        <f t="shared" si="0"/>
        <v>152.99399352076767</v>
      </c>
      <c r="K16">
        <f t="shared" si="2"/>
        <v>95.671636639147053</v>
      </c>
    </row>
    <row r="17" spans="1:12" x14ac:dyDescent="0.2">
      <c r="A17">
        <v>16</v>
      </c>
      <c r="C17" t="s">
        <v>20</v>
      </c>
      <c r="D17">
        <v>174</v>
      </c>
      <c r="E17">
        <f t="shared" si="4"/>
        <v>150.5</v>
      </c>
      <c r="F17">
        <f t="shared" si="5"/>
        <v>154.5</v>
      </c>
      <c r="G17">
        <f t="shared" si="3"/>
        <v>1.1262135922330097</v>
      </c>
      <c r="H17">
        <v>1.1370958243516824</v>
      </c>
      <c r="I17">
        <f t="shared" si="1"/>
        <v>153.02140441787873</v>
      </c>
      <c r="J17">
        <f t="shared" si="0"/>
        <v>160.26412698445279</v>
      </c>
      <c r="K17">
        <f t="shared" si="2"/>
        <v>182.23566958738905</v>
      </c>
    </row>
    <row r="18" spans="1:12" x14ac:dyDescent="0.2">
      <c r="A18">
        <v>17</v>
      </c>
      <c r="B18">
        <v>2003</v>
      </c>
      <c r="C18" t="s">
        <v>17</v>
      </c>
      <c r="D18">
        <v>188</v>
      </c>
      <c r="E18">
        <f t="shared" si="4"/>
        <v>158.5</v>
      </c>
      <c r="F18">
        <f t="shared" si="5"/>
        <v>162</v>
      </c>
      <c r="G18">
        <f t="shared" si="3"/>
        <v>1.1604938271604939</v>
      </c>
      <c r="H18">
        <v>1.196217851586024</v>
      </c>
      <c r="I18">
        <f t="shared" si="1"/>
        <v>157.16200836723618</v>
      </c>
      <c r="J18">
        <f t="shared" si="0"/>
        <v>167.5342604481379</v>
      </c>
      <c r="K18">
        <f t="shared" si="2"/>
        <v>200.40747310032492</v>
      </c>
    </row>
    <row r="19" spans="1:12" x14ac:dyDescent="0.2">
      <c r="A19">
        <v>18</v>
      </c>
      <c r="C19" t="s">
        <v>18</v>
      </c>
      <c r="D19">
        <v>172</v>
      </c>
      <c r="E19">
        <f t="shared" si="4"/>
        <v>165.5</v>
      </c>
      <c r="F19">
        <f t="shared" si="5"/>
        <v>168.5</v>
      </c>
      <c r="G19">
        <f t="shared" si="3"/>
        <v>1.0207715133531157</v>
      </c>
      <c r="H19">
        <v>1.0135316277353756</v>
      </c>
      <c r="I19">
        <f t="shared" si="1"/>
        <v>169.70363360472035</v>
      </c>
      <c r="J19">
        <f t="shared" si="0"/>
        <v>174.80439391182301</v>
      </c>
      <c r="K19">
        <f t="shared" si="2"/>
        <v>177.16978189674577</v>
      </c>
    </row>
    <row r="20" spans="1:12" x14ac:dyDescent="0.2">
      <c r="A20">
        <v>19</v>
      </c>
      <c r="C20" t="s">
        <v>19</v>
      </c>
      <c r="D20">
        <v>128</v>
      </c>
      <c r="E20">
        <f t="shared" si="4"/>
        <v>171.5</v>
      </c>
      <c r="F20">
        <f t="shared" si="5"/>
        <v>174</v>
      </c>
      <c r="G20">
        <f t="shared" si="3"/>
        <v>0.73563218390804597</v>
      </c>
      <c r="H20">
        <v>0.62532936383649873</v>
      </c>
      <c r="I20">
        <f t="shared" si="1"/>
        <v>204.69213090314344</v>
      </c>
      <c r="J20">
        <f t="shared" si="0"/>
        <v>182.07452737550813</v>
      </c>
      <c r="K20">
        <f t="shared" si="2"/>
        <v>113.85654837455768</v>
      </c>
    </row>
    <row r="21" spans="1:12" x14ac:dyDescent="0.2">
      <c r="A21">
        <v>20</v>
      </c>
      <c r="C21" t="s">
        <v>20</v>
      </c>
      <c r="D21">
        <v>198</v>
      </c>
      <c r="E21">
        <f t="shared" si="4"/>
        <v>176.5</v>
      </c>
      <c r="F21">
        <f t="shared" si="5"/>
        <v>180.25</v>
      </c>
      <c r="G21">
        <f t="shared" si="3"/>
        <v>1.0984743411927878</v>
      </c>
      <c r="H21">
        <v>1.1370958243516824</v>
      </c>
      <c r="I21">
        <f t="shared" si="1"/>
        <v>174.12780502724132</v>
      </c>
      <c r="J21">
        <f t="shared" si="0"/>
        <v>189.34466083919324</v>
      </c>
      <c r="K21">
        <f t="shared" si="2"/>
        <v>215.30302320353215</v>
      </c>
    </row>
    <row r="22" spans="1:12" x14ac:dyDescent="0.2">
      <c r="A22">
        <v>21</v>
      </c>
      <c r="B22">
        <v>2004</v>
      </c>
      <c r="C22" t="s">
        <v>17</v>
      </c>
      <c r="D22">
        <v>208</v>
      </c>
      <c r="E22">
        <f t="shared" si="4"/>
        <v>184</v>
      </c>
      <c r="F22">
        <f t="shared" si="5"/>
        <v>187.25</v>
      </c>
      <c r="G22">
        <f t="shared" si="3"/>
        <v>1.1108144192256342</v>
      </c>
      <c r="H22">
        <v>1.196217851586024</v>
      </c>
      <c r="I22">
        <f t="shared" si="1"/>
        <v>173.88137095949534</v>
      </c>
      <c r="J22">
        <f t="shared" si="0"/>
        <v>196.61479430287835</v>
      </c>
      <c r="K22">
        <f t="shared" si="2"/>
        <v>235.19412683101717</v>
      </c>
    </row>
    <row r="23" spans="1:12" x14ac:dyDescent="0.2">
      <c r="A23">
        <v>22</v>
      </c>
      <c r="C23" t="s">
        <v>18</v>
      </c>
      <c r="D23">
        <v>202</v>
      </c>
      <c r="E23">
        <f t="shared" si="4"/>
        <v>190.5</v>
      </c>
      <c r="F23">
        <f t="shared" si="5"/>
        <v>193.25</v>
      </c>
      <c r="G23">
        <f t="shared" si="3"/>
        <v>1.0452781371280724</v>
      </c>
      <c r="H23">
        <v>1.0135316277353756</v>
      </c>
      <c r="I23">
        <f t="shared" si="1"/>
        <v>199.30310458228783</v>
      </c>
      <c r="J23">
        <f t="shared" si="0"/>
        <v>203.88492776656346</v>
      </c>
      <c r="K23">
        <f t="shared" si="2"/>
        <v>206.64382270995455</v>
      </c>
    </row>
    <row r="24" spans="1:12" x14ac:dyDescent="0.2">
      <c r="A24">
        <v>23</v>
      </c>
      <c r="C24" t="s">
        <v>19</v>
      </c>
      <c r="D24">
        <v>154</v>
      </c>
      <c r="E24">
        <f t="shared" si="4"/>
        <v>196</v>
      </c>
      <c r="F24">
        <f t="shared" si="5"/>
        <v>200.75</v>
      </c>
      <c r="G24">
        <f t="shared" si="3"/>
        <v>0.76712328767123283</v>
      </c>
      <c r="H24">
        <v>0.62532936383649873</v>
      </c>
      <c r="I24">
        <f t="shared" si="1"/>
        <v>246.27021999284443</v>
      </c>
      <c r="J24">
        <f t="shared" si="0"/>
        <v>211.15506123024858</v>
      </c>
      <c r="K24">
        <f t="shared" si="2"/>
        <v>132.04146010996828</v>
      </c>
    </row>
    <row r="25" spans="1:12" x14ac:dyDescent="0.2">
      <c r="A25">
        <v>24</v>
      </c>
      <c r="C25" t="s">
        <v>20</v>
      </c>
      <c r="D25">
        <v>220</v>
      </c>
      <c r="E25">
        <f t="shared" si="4"/>
        <v>205.5</v>
      </c>
      <c r="F25">
        <f t="shared" si="5"/>
        <v>210.25</v>
      </c>
      <c r="G25">
        <f t="shared" si="3"/>
        <v>1.0463733650416172</v>
      </c>
      <c r="H25">
        <v>1.1370958243516824</v>
      </c>
      <c r="I25">
        <f t="shared" si="1"/>
        <v>193.47533891915702</v>
      </c>
      <c r="J25">
        <f t="shared" si="0"/>
        <v>218.42519469393369</v>
      </c>
      <c r="K25">
        <f t="shared" si="2"/>
        <v>248.37037681967527</v>
      </c>
    </row>
    <row r="26" spans="1:12" x14ac:dyDescent="0.2">
      <c r="A26">
        <v>25</v>
      </c>
      <c r="B26">
        <v>2005</v>
      </c>
      <c r="C26" t="s">
        <v>17</v>
      </c>
      <c r="D26">
        <v>246</v>
      </c>
      <c r="E26">
        <f t="shared" si="4"/>
        <v>215</v>
      </c>
      <c r="F26">
        <f t="shared" si="5"/>
        <v>219.5</v>
      </c>
      <c r="G26">
        <f t="shared" si="3"/>
        <v>1.1207289293849658</v>
      </c>
      <c r="H26">
        <v>1.196217851586024</v>
      </c>
      <c r="I26">
        <f t="shared" si="1"/>
        <v>205.64815988478779</v>
      </c>
      <c r="J26">
        <f t="shared" si="0"/>
        <v>225.6953281576188</v>
      </c>
      <c r="K26">
        <f t="shared" si="2"/>
        <v>269.98078056170942</v>
      </c>
    </row>
    <row r="27" spans="1:12" x14ac:dyDescent="0.2">
      <c r="A27">
        <v>26</v>
      </c>
      <c r="C27" t="s">
        <v>18</v>
      </c>
      <c r="D27">
        <v>240</v>
      </c>
      <c r="E27">
        <f t="shared" si="4"/>
        <v>224</v>
      </c>
      <c r="F27">
        <f t="shared" si="5"/>
        <v>228</v>
      </c>
      <c r="G27">
        <f t="shared" si="3"/>
        <v>1.0526315789473684</v>
      </c>
      <c r="H27">
        <v>1.0135316277353756</v>
      </c>
      <c r="I27">
        <f t="shared" si="1"/>
        <v>236.79576782054002</v>
      </c>
      <c r="J27">
        <f t="shared" si="0"/>
        <v>232.96546162130392</v>
      </c>
      <c r="K27">
        <f t="shared" si="2"/>
        <v>236.11786352316335</v>
      </c>
    </row>
    <row r="28" spans="1:12" x14ac:dyDescent="0.2">
      <c r="A28">
        <v>27</v>
      </c>
      <c r="C28" t="s">
        <v>19</v>
      </c>
      <c r="D28">
        <v>190</v>
      </c>
      <c r="E28">
        <f t="shared" si="4"/>
        <v>232</v>
      </c>
      <c r="H28">
        <v>0.62532936383649873</v>
      </c>
      <c r="I28">
        <f t="shared" si="1"/>
        <v>303.83988180935353</v>
      </c>
      <c r="J28">
        <f t="shared" si="0"/>
        <v>240.23559508498897</v>
      </c>
      <c r="K28">
        <f t="shared" si="2"/>
        <v>150.22637184537885</v>
      </c>
    </row>
    <row r="29" spans="1:12" x14ac:dyDescent="0.2">
      <c r="A29">
        <v>28</v>
      </c>
      <c r="C29" t="s">
        <v>20</v>
      </c>
      <c r="D29">
        <v>252</v>
      </c>
      <c r="H29">
        <v>1.1370958243516824</v>
      </c>
      <c r="I29">
        <f t="shared" si="1"/>
        <v>221.61720639830713</v>
      </c>
      <c r="J29">
        <f t="shared" si="0"/>
        <v>247.50572854867409</v>
      </c>
      <c r="K29">
        <f t="shared" si="2"/>
        <v>281.43773043581831</v>
      </c>
    </row>
    <row r="30" spans="1:12" x14ac:dyDescent="0.2">
      <c r="A30" s="6">
        <v>29</v>
      </c>
      <c r="B30" s="6">
        <v>2006</v>
      </c>
      <c r="C30" s="6" t="s">
        <v>17</v>
      </c>
      <c r="D30" s="6"/>
      <c r="E30" s="6"/>
      <c r="F30" s="6"/>
      <c r="G30" s="6"/>
      <c r="H30" s="6">
        <v>1.196217851586024</v>
      </c>
      <c r="I30" s="6"/>
      <c r="J30" s="6">
        <f t="shared" si="0"/>
        <v>254.7758620123592</v>
      </c>
      <c r="K30" s="6">
        <f t="shared" si="2"/>
        <v>304.76743429240162</v>
      </c>
      <c r="L30" s="6">
        <f>AVERAGE(D26:D29)*1.1</f>
        <v>255.20000000000002</v>
      </c>
    </row>
    <row r="31" spans="1:12" x14ac:dyDescent="0.2">
      <c r="A31" s="6">
        <v>30</v>
      </c>
      <c r="B31" s="6"/>
      <c r="C31" s="6" t="s">
        <v>18</v>
      </c>
      <c r="D31" s="6"/>
      <c r="E31" s="6"/>
      <c r="F31" s="6"/>
      <c r="G31" s="6"/>
      <c r="H31" s="6">
        <v>1.0135316277353756</v>
      </c>
      <c r="I31" s="6"/>
      <c r="J31" s="6">
        <f t="shared" si="0"/>
        <v>262.04599547604431</v>
      </c>
      <c r="K31" s="6">
        <f t="shared" si="2"/>
        <v>265.59190433637207</v>
      </c>
      <c r="L31" s="6">
        <v>255.20000000000002</v>
      </c>
    </row>
    <row r="32" spans="1:12" x14ac:dyDescent="0.2">
      <c r="A32" s="6">
        <v>31</v>
      </c>
      <c r="B32" s="6"/>
      <c r="C32" s="6" t="s">
        <v>19</v>
      </c>
      <c r="D32" s="6"/>
      <c r="E32" s="6"/>
      <c r="F32" s="6"/>
      <c r="G32" s="6"/>
      <c r="H32" s="6">
        <v>0.62532936383649873</v>
      </c>
      <c r="I32" s="6"/>
      <c r="J32" s="6">
        <f t="shared" si="0"/>
        <v>269.31612893972942</v>
      </c>
      <c r="K32" s="6">
        <f t="shared" si="2"/>
        <v>168.41128358078947</v>
      </c>
      <c r="L32" s="6">
        <v>255.20000000000002</v>
      </c>
    </row>
    <row r="33" spans="1:12" x14ac:dyDescent="0.2">
      <c r="A33" s="6">
        <v>32</v>
      </c>
      <c r="B33" s="6"/>
      <c r="C33" s="6" t="s">
        <v>20</v>
      </c>
      <c r="D33" s="6"/>
      <c r="E33" s="6"/>
      <c r="F33" s="6"/>
      <c r="G33" s="6"/>
      <c r="H33" s="6">
        <v>1.1370958243516824</v>
      </c>
      <c r="I33" s="6"/>
      <c r="J33" s="6">
        <f t="shared" si="0"/>
        <v>276.58626240341454</v>
      </c>
      <c r="K33" s="6">
        <f t="shared" si="2"/>
        <v>314.50508405196143</v>
      </c>
      <c r="L33" s="6">
        <v>255.20000000000002</v>
      </c>
    </row>
    <row r="36" spans="1:12" x14ac:dyDescent="0.2">
      <c r="F36" s="1" t="s">
        <v>60</v>
      </c>
    </row>
  </sheetData>
  <pageMargins left="0.7" right="0.7" top="0.75" bottom="0.75" header="0.3" footer="0.3"/>
  <ignoredErrors>
    <ignoredError sqref="E4:E5 E6:E28 L30" formulaRange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FB046-E820-E044-9194-E74F59190492}">
  <dimension ref="A1:L49"/>
  <sheetViews>
    <sheetView zoomScaleNormal="100" workbookViewId="0">
      <selection activeCell="P1" sqref="P1"/>
    </sheetView>
  </sheetViews>
  <sheetFormatPr baseColWidth="10" defaultRowHeight="16" x14ac:dyDescent="0.2"/>
  <cols>
    <col min="1" max="1" width="3.5" customWidth="1"/>
    <col min="2" max="2" width="4.6640625" customWidth="1"/>
    <col min="3" max="3" width="9.5" customWidth="1"/>
    <col min="4" max="4" width="8.5" customWidth="1"/>
    <col min="5" max="5" width="11.1640625" customWidth="1"/>
    <col min="6" max="6" width="10" customWidth="1"/>
    <col min="7" max="7" width="10.5" customWidth="1"/>
    <col min="8" max="8" width="12.6640625" customWidth="1"/>
    <col min="9" max="9" width="11" customWidth="1"/>
    <col min="10" max="10" width="8.5" customWidth="1"/>
  </cols>
  <sheetData>
    <row r="1" spans="1:12" ht="51" x14ac:dyDescent="0.2">
      <c r="A1" s="1" t="s">
        <v>27</v>
      </c>
      <c r="B1" s="1" t="s">
        <v>13</v>
      </c>
      <c r="C1" s="1" t="s">
        <v>0</v>
      </c>
      <c r="D1" s="2" t="s">
        <v>14</v>
      </c>
      <c r="E1" s="2" t="s">
        <v>61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58</v>
      </c>
      <c r="K1" s="1" t="s">
        <v>56</v>
      </c>
      <c r="L1" s="1" t="s">
        <v>57</v>
      </c>
    </row>
    <row r="2" spans="1:12" x14ac:dyDescent="0.2">
      <c r="A2">
        <v>1</v>
      </c>
      <c r="B2">
        <v>1</v>
      </c>
      <c r="C2" t="s">
        <v>1</v>
      </c>
      <c r="D2">
        <v>170</v>
      </c>
      <c r="G2">
        <v>0.71142558937559597</v>
      </c>
      <c r="H2">
        <f t="shared" ref="H2:H37" si="0">D2/G2</f>
        <v>238.95682491433237</v>
      </c>
      <c r="I2">
        <f t="shared" ref="I2:I43" si="1">A2*K$2+L$2</f>
        <v>229.82183008166891</v>
      </c>
      <c r="J2">
        <f>I2*G2</f>
        <v>163.50113091722937</v>
      </c>
      <c r="K2">
        <v>1.9443195333021133</v>
      </c>
      <c r="L2">
        <v>227.87751054836679</v>
      </c>
    </row>
    <row r="3" spans="1:12" x14ac:dyDescent="0.2">
      <c r="A3">
        <v>2</v>
      </c>
      <c r="C3" t="s">
        <v>2</v>
      </c>
      <c r="D3">
        <v>180</v>
      </c>
      <c r="G3">
        <v>0.78083069602771449</v>
      </c>
      <c r="H3">
        <f t="shared" si="0"/>
        <v>230.52372417696441</v>
      </c>
      <c r="I3">
        <f t="shared" si="1"/>
        <v>231.766149614971</v>
      </c>
      <c r="J3">
        <f t="shared" ref="J3:J49" si="2">I3*G3</f>
        <v>180.97012391952123</v>
      </c>
    </row>
    <row r="4" spans="1:12" x14ac:dyDescent="0.2">
      <c r="A4">
        <v>3</v>
      </c>
      <c r="C4" t="s">
        <v>3</v>
      </c>
      <c r="D4">
        <v>205</v>
      </c>
      <c r="G4">
        <v>0.8307714673386315</v>
      </c>
      <c r="H4">
        <f t="shared" si="0"/>
        <v>246.75859494394476</v>
      </c>
      <c r="I4">
        <f t="shared" si="1"/>
        <v>233.71046914827312</v>
      </c>
      <c r="J4">
        <f t="shared" si="2"/>
        <v>194.15998938671083</v>
      </c>
    </row>
    <row r="5" spans="1:12" x14ac:dyDescent="0.2">
      <c r="A5">
        <v>4</v>
      </c>
      <c r="C5" t="s">
        <v>4</v>
      </c>
      <c r="D5">
        <v>230</v>
      </c>
      <c r="G5">
        <v>0.97123496850544</v>
      </c>
      <c r="H5">
        <f t="shared" si="0"/>
        <v>236.81190181396536</v>
      </c>
      <c r="I5">
        <f t="shared" si="1"/>
        <v>235.65478868157524</v>
      </c>
      <c r="J5">
        <f t="shared" si="2"/>
        <v>228.87617126330585</v>
      </c>
    </row>
    <row r="6" spans="1:12" x14ac:dyDescent="0.2">
      <c r="A6">
        <v>5</v>
      </c>
      <c r="C6" t="s">
        <v>5</v>
      </c>
      <c r="D6">
        <v>240</v>
      </c>
      <c r="G6">
        <v>1.0190004363063152</v>
      </c>
      <c r="H6">
        <f t="shared" si="0"/>
        <v>235.52492368889932</v>
      </c>
      <c r="I6">
        <f t="shared" si="1"/>
        <v>237.59910821487736</v>
      </c>
      <c r="J6">
        <f t="shared" si="2"/>
        <v>242.11359493695144</v>
      </c>
    </row>
    <row r="7" spans="1:12" x14ac:dyDescent="0.2">
      <c r="A7">
        <v>6</v>
      </c>
      <c r="C7" t="s">
        <v>6</v>
      </c>
      <c r="D7">
        <v>315</v>
      </c>
      <c r="G7">
        <v>1.3097910207777925</v>
      </c>
      <c r="H7">
        <f t="shared" si="0"/>
        <v>240.4963807225856</v>
      </c>
      <c r="I7">
        <f t="shared" si="1"/>
        <v>239.54342774817945</v>
      </c>
      <c r="J7">
        <f t="shared" si="2"/>
        <v>313.75183075089933</v>
      </c>
    </row>
    <row r="8" spans="1:12" x14ac:dyDescent="0.2">
      <c r="A8">
        <v>7</v>
      </c>
      <c r="C8" t="s">
        <v>7</v>
      </c>
      <c r="D8">
        <v>360</v>
      </c>
      <c r="E8">
        <f>AVERAGE(D2:D13)</f>
        <v>241.25</v>
      </c>
      <c r="F8">
        <f t="shared" ref="F8:F32" si="3">D8/E8</f>
        <v>1.4922279792746114</v>
      </c>
      <c r="G8">
        <f>AVERAGE(F8,F20,F32)</f>
        <v>1.4861031134608977</v>
      </c>
      <c r="H8">
        <f t="shared" si="0"/>
        <v>242.2442943152291</v>
      </c>
      <c r="I8">
        <f t="shared" si="1"/>
        <v>241.48774728148157</v>
      </c>
      <c r="J8">
        <f t="shared" si="2"/>
        <v>358.8756930976682</v>
      </c>
    </row>
    <row r="9" spans="1:12" x14ac:dyDescent="0.2">
      <c r="A9">
        <v>8</v>
      </c>
      <c r="C9" t="s">
        <v>8</v>
      </c>
      <c r="D9">
        <v>290</v>
      </c>
      <c r="E9">
        <f>AVERAGE(D3:D14)</f>
        <v>242.08333333333334</v>
      </c>
      <c r="F9">
        <f t="shared" si="3"/>
        <v>1.197934595524957</v>
      </c>
      <c r="G9">
        <f>AVERAGE(F9,F21)</f>
        <v>1.2280752789831357</v>
      </c>
      <c r="H9">
        <f t="shared" si="0"/>
        <v>236.14187579781284</v>
      </c>
      <c r="I9">
        <f t="shared" si="1"/>
        <v>243.4320668147837</v>
      </c>
      <c r="J9">
        <f t="shared" si="2"/>
        <v>298.9529033670068</v>
      </c>
    </row>
    <row r="10" spans="1:12" x14ac:dyDescent="0.2">
      <c r="A10">
        <v>9</v>
      </c>
      <c r="C10" t="s">
        <v>9</v>
      </c>
      <c r="D10">
        <v>240</v>
      </c>
      <c r="E10">
        <f t="shared" ref="E10:E28" si="4">AVERAGE(D4:D15)</f>
        <v>244.16666666666666</v>
      </c>
      <c r="F10">
        <f t="shared" si="3"/>
        <v>0.98293515358361783</v>
      </c>
      <c r="G10">
        <f t="shared" ref="G10:G13" si="5">AVERAGE(F10,F22)</f>
        <v>0.9789675767918089</v>
      </c>
      <c r="H10">
        <f t="shared" si="0"/>
        <v>245.15622957249312</v>
      </c>
      <c r="I10">
        <f t="shared" si="1"/>
        <v>245.37638634808582</v>
      </c>
      <c r="J10">
        <f t="shared" si="2"/>
        <v>240.21552634511627</v>
      </c>
    </row>
    <row r="11" spans="1:12" x14ac:dyDescent="0.2">
      <c r="A11">
        <v>10</v>
      </c>
      <c r="C11" t="s">
        <v>10</v>
      </c>
      <c r="D11">
        <v>240</v>
      </c>
      <c r="E11">
        <f t="shared" si="4"/>
        <v>245</v>
      </c>
      <c r="F11">
        <f t="shared" si="3"/>
        <v>0.97959183673469385</v>
      </c>
      <c r="G11">
        <f t="shared" si="5"/>
        <v>0.99368394325070619</v>
      </c>
      <c r="H11">
        <f t="shared" si="0"/>
        <v>241.52548869298582</v>
      </c>
      <c r="I11">
        <f t="shared" si="1"/>
        <v>247.32070588138791</v>
      </c>
      <c r="J11">
        <f t="shared" si="2"/>
        <v>245.75861426776567</v>
      </c>
    </row>
    <row r="12" spans="1:12" x14ac:dyDescent="0.2">
      <c r="A12">
        <v>11</v>
      </c>
      <c r="C12" t="s">
        <v>11</v>
      </c>
      <c r="D12">
        <v>230</v>
      </c>
      <c r="E12">
        <f t="shared" si="4"/>
        <v>246.25</v>
      </c>
      <c r="F12">
        <f t="shared" si="3"/>
        <v>0.93401015228426398</v>
      </c>
      <c r="G12">
        <f t="shared" si="5"/>
        <v>0.93777430691136288</v>
      </c>
      <c r="H12">
        <f t="shared" si="0"/>
        <v>245.26157125963923</v>
      </c>
      <c r="I12">
        <f t="shared" si="1"/>
        <v>249.26502541469003</v>
      </c>
      <c r="J12">
        <f t="shared" si="2"/>
        <v>233.75433644550421</v>
      </c>
    </row>
    <row r="13" spans="1:12" x14ac:dyDescent="0.2">
      <c r="A13">
        <v>12</v>
      </c>
      <c r="C13" t="s">
        <v>12</v>
      </c>
      <c r="D13">
        <v>195</v>
      </c>
      <c r="E13">
        <f t="shared" si="4"/>
        <v>248.33333333333334</v>
      </c>
      <c r="F13">
        <f t="shared" si="3"/>
        <v>0.78523489932885904</v>
      </c>
      <c r="G13">
        <f t="shared" si="5"/>
        <v>0.79567088477893333</v>
      </c>
      <c r="H13">
        <f t="shared" si="0"/>
        <v>245.07620390581238</v>
      </c>
      <c r="I13">
        <f t="shared" si="1"/>
        <v>251.20934494799215</v>
      </c>
      <c r="J13">
        <f t="shared" si="2"/>
        <v>199.87996175950519</v>
      </c>
    </row>
    <row r="14" spans="1:12" x14ac:dyDescent="0.2">
      <c r="A14">
        <v>13</v>
      </c>
      <c r="B14">
        <v>2</v>
      </c>
      <c r="C14" t="s">
        <v>1</v>
      </c>
      <c r="D14">
        <v>180</v>
      </c>
      <c r="E14">
        <f t="shared" si="4"/>
        <v>249.58333333333334</v>
      </c>
      <c r="F14">
        <f t="shared" si="3"/>
        <v>0.72120200333889817</v>
      </c>
      <c r="G14">
        <f>AVERAGE(F14,F26)</f>
        <v>0.71142558937559597</v>
      </c>
      <c r="H14">
        <f t="shared" si="0"/>
        <v>253.0131087328225</v>
      </c>
      <c r="I14">
        <f t="shared" si="1"/>
        <v>253.15366448129424</v>
      </c>
      <c r="J14">
        <f t="shared" si="2"/>
        <v>180.09999495619664</v>
      </c>
    </row>
    <row r="15" spans="1:12" x14ac:dyDescent="0.2">
      <c r="A15">
        <v>14</v>
      </c>
      <c r="C15" t="s">
        <v>2</v>
      </c>
      <c r="D15">
        <v>205</v>
      </c>
      <c r="E15">
        <f t="shared" si="4"/>
        <v>252.91666666666666</v>
      </c>
      <c r="F15">
        <f t="shared" si="3"/>
        <v>0.81054365733113676</v>
      </c>
      <c r="G15">
        <f t="shared" ref="G15:G19" si="6">AVERAGE(F15,F27)</f>
        <v>0.78083069602771449</v>
      </c>
      <c r="H15">
        <f t="shared" si="0"/>
        <v>262.54090809043169</v>
      </c>
      <c r="I15">
        <f t="shared" si="1"/>
        <v>255.09798401459636</v>
      </c>
      <c r="J15">
        <f t="shared" si="2"/>
        <v>199.18833641338406</v>
      </c>
    </row>
    <row r="16" spans="1:12" x14ac:dyDescent="0.2">
      <c r="A16">
        <v>15</v>
      </c>
      <c r="C16" t="s">
        <v>3</v>
      </c>
      <c r="D16">
        <v>215</v>
      </c>
      <c r="E16">
        <f t="shared" si="4"/>
        <v>256.66666666666669</v>
      </c>
      <c r="F16">
        <f t="shared" si="3"/>
        <v>0.83766233766233755</v>
      </c>
      <c r="G16">
        <f t="shared" si="6"/>
        <v>0.8307714673386315</v>
      </c>
      <c r="H16">
        <f t="shared" si="0"/>
        <v>258.79559957535668</v>
      </c>
      <c r="I16">
        <f t="shared" si="1"/>
        <v>257.04230354789848</v>
      </c>
      <c r="J16">
        <f t="shared" si="2"/>
        <v>213.54341168658954</v>
      </c>
    </row>
    <row r="17" spans="1:10" x14ac:dyDescent="0.2">
      <c r="A17">
        <v>16</v>
      </c>
      <c r="C17" t="s">
        <v>4</v>
      </c>
      <c r="D17">
        <v>245</v>
      </c>
      <c r="E17">
        <f t="shared" si="4"/>
        <v>258.33333333333331</v>
      </c>
      <c r="F17">
        <f t="shared" si="3"/>
        <v>0.94838709677419364</v>
      </c>
      <c r="G17">
        <f t="shared" si="6"/>
        <v>0.97123496850544</v>
      </c>
      <c r="H17">
        <f t="shared" si="0"/>
        <v>252.25615628009353</v>
      </c>
      <c r="I17">
        <f t="shared" si="1"/>
        <v>258.98662308120061</v>
      </c>
      <c r="J17">
        <f t="shared" si="2"/>
        <v>251.53686471160012</v>
      </c>
    </row>
    <row r="18" spans="1:10" x14ac:dyDescent="0.2">
      <c r="A18">
        <v>17</v>
      </c>
      <c r="C18" t="s">
        <v>5</v>
      </c>
      <c r="D18">
        <v>265</v>
      </c>
      <c r="E18">
        <f t="shared" si="4"/>
        <v>260.83333333333331</v>
      </c>
      <c r="F18">
        <f t="shared" si="3"/>
        <v>1.0159744408945688</v>
      </c>
      <c r="G18">
        <f t="shared" si="6"/>
        <v>1.0190004363063152</v>
      </c>
      <c r="H18">
        <f t="shared" si="0"/>
        <v>260.05876990649301</v>
      </c>
      <c r="I18">
        <f t="shared" si="1"/>
        <v>260.93094261450273</v>
      </c>
      <c r="J18">
        <f t="shared" si="2"/>
        <v>265.88874436999635</v>
      </c>
    </row>
    <row r="19" spans="1:10" x14ac:dyDescent="0.2">
      <c r="A19">
        <v>18</v>
      </c>
      <c r="C19" t="s">
        <v>6</v>
      </c>
      <c r="D19">
        <v>330</v>
      </c>
      <c r="E19">
        <f t="shared" si="4"/>
        <v>262.91666666666669</v>
      </c>
      <c r="F19">
        <f t="shared" si="3"/>
        <v>1.2551505546751187</v>
      </c>
      <c r="G19">
        <f t="shared" si="6"/>
        <v>1.3097910207777925</v>
      </c>
      <c r="H19">
        <f t="shared" si="0"/>
        <v>251.948589328423</v>
      </c>
      <c r="I19">
        <f t="shared" si="1"/>
        <v>262.87526214780485</v>
      </c>
      <c r="J19">
        <f t="shared" si="2"/>
        <v>344.31165794580312</v>
      </c>
    </row>
    <row r="20" spans="1:10" x14ac:dyDescent="0.2">
      <c r="A20">
        <v>19</v>
      </c>
      <c r="C20" t="s">
        <v>7</v>
      </c>
      <c r="D20">
        <v>400</v>
      </c>
      <c r="E20">
        <f t="shared" si="4"/>
        <v>265</v>
      </c>
      <c r="F20">
        <f t="shared" si="3"/>
        <v>1.5094339622641511</v>
      </c>
      <c r="G20">
        <v>1.4861031134608977</v>
      </c>
      <c r="H20">
        <f t="shared" si="0"/>
        <v>269.1603270169212</v>
      </c>
      <c r="I20">
        <f t="shared" si="1"/>
        <v>264.81958168110691</v>
      </c>
      <c r="J20">
        <f t="shared" si="2"/>
        <v>393.54920484170549</v>
      </c>
    </row>
    <row r="21" spans="1:10" x14ac:dyDescent="0.2">
      <c r="A21">
        <v>20</v>
      </c>
      <c r="C21" t="s">
        <v>8</v>
      </c>
      <c r="D21">
        <v>335</v>
      </c>
      <c r="E21">
        <f t="shared" si="4"/>
        <v>266.25</v>
      </c>
      <c r="F21">
        <f t="shared" si="3"/>
        <v>1.2582159624413145</v>
      </c>
      <c r="G21">
        <v>1.2280752789831357</v>
      </c>
      <c r="H21">
        <f t="shared" si="0"/>
        <v>272.78458066299072</v>
      </c>
      <c r="I21">
        <f t="shared" si="1"/>
        <v>266.76390121440903</v>
      </c>
      <c r="J21">
        <f t="shared" si="2"/>
        <v>327.60615240651504</v>
      </c>
    </row>
    <row r="22" spans="1:10" x14ac:dyDescent="0.2">
      <c r="A22">
        <v>21</v>
      </c>
      <c r="C22" t="s">
        <v>9</v>
      </c>
      <c r="D22">
        <v>260</v>
      </c>
      <c r="E22">
        <f t="shared" si="4"/>
        <v>266.66666666666669</v>
      </c>
      <c r="F22">
        <f t="shared" si="3"/>
        <v>0.97499999999999998</v>
      </c>
      <c r="G22">
        <v>0.9789675767918089</v>
      </c>
      <c r="H22">
        <f t="shared" si="0"/>
        <v>265.58591537020089</v>
      </c>
      <c r="I22">
        <f t="shared" si="1"/>
        <v>268.70822074771115</v>
      </c>
      <c r="J22">
        <f t="shared" si="2"/>
        <v>263.05663572942524</v>
      </c>
    </row>
    <row r="23" spans="1:10" x14ac:dyDescent="0.2">
      <c r="A23">
        <v>22</v>
      </c>
      <c r="C23" t="s">
        <v>10</v>
      </c>
      <c r="D23">
        <v>270</v>
      </c>
      <c r="E23">
        <f t="shared" si="4"/>
        <v>267.91666666666669</v>
      </c>
      <c r="F23">
        <f t="shared" si="3"/>
        <v>1.0077760497667185</v>
      </c>
      <c r="G23">
        <v>0.99368394325070619</v>
      </c>
      <c r="H23">
        <f t="shared" si="0"/>
        <v>271.71617477960905</v>
      </c>
      <c r="I23">
        <f t="shared" si="1"/>
        <v>270.65254028101327</v>
      </c>
      <c r="J23">
        <f t="shared" si="2"/>
        <v>268.94308347725786</v>
      </c>
    </row>
    <row r="24" spans="1:10" x14ac:dyDescent="0.2">
      <c r="A24">
        <v>23</v>
      </c>
      <c r="C24" t="s">
        <v>11</v>
      </c>
      <c r="D24">
        <v>255</v>
      </c>
      <c r="E24">
        <f t="shared" si="4"/>
        <v>270.83333333333331</v>
      </c>
      <c r="F24">
        <f t="shared" si="3"/>
        <v>0.94153846153846166</v>
      </c>
      <c r="G24">
        <v>0.93777430691136288</v>
      </c>
      <c r="H24">
        <f t="shared" si="0"/>
        <v>271.92043770090436</v>
      </c>
      <c r="I24">
        <f t="shared" si="1"/>
        <v>272.59685981431539</v>
      </c>
      <c r="J24">
        <f t="shared" si="2"/>
        <v>255.63433127858357</v>
      </c>
    </row>
    <row r="25" spans="1:10" x14ac:dyDescent="0.2">
      <c r="A25">
        <v>24</v>
      </c>
      <c r="C25" t="s">
        <v>12</v>
      </c>
      <c r="D25">
        <v>220</v>
      </c>
      <c r="E25">
        <f t="shared" si="4"/>
        <v>272.91666666666669</v>
      </c>
      <c r="F25">
        <f t="shared" si="3"/>
        <v>0.80610687022900762</v>
      </c>
      <c r="G25">
        <v>0.79567088477893333</v>
      </c>
      <c r="H25">
        <f t="shared" si="0"/>
        <v>276.4962300475832</v>
      </c>
      <c r="I25">
        <f t="shared" si="1"/>
        <v>274.54117934761751</v>
      </c>
      <c r="J25">
        <f t="shared" si="2"/>
        <v>218.44442307977064</v>
      </c>
    </row>
    <row r="26" spans="1:10" x14ac:dyDescent="0.2">
      <c r="A26">
        <v>25</v>
      </c>
      <c r="B26">
        <v>3</v>
      </c>
      <c r="C26" t="s">
        <v>1</v>
      </c>
      <c r="D26">
        <v>195</v>
      </c>
      <c r="E26">
        <f t="shared" si="4"/>
        <v>277.91666666666669</v>
      </c>
      <c r="F26">
        <f t="shared" si="3"/>
        <v>0.70164917541229377</v>
      </c>
      <c r="G26">
        <v>0.71142558937559597</v>
      </c>
      <c r="H26">
        <f t="shared" si="0"/>
        <v>274.09753446055771</v>
      </c>
      <c r="I26">
        <f t="shared" si="1"/>
        <v>276.48549888091964</v>
      </c>
      <c r="J26">
        <f t="shared" si="2"/>
        <v>196.69885899516393</v>
      </c>
    </row>
    <row r="27" spans="1:10" x14ac:dyDescent="0.2">
      <c r="A27">
        <v>26</v>
      </c>
      <c r="C27" t="s">
        <v>2</v>
      </c>
      <c r="D27">
        <v>210</v>
      </c>
      <c r="E27">
        <f t="shared" si="4"/>
        <v>279.58333333333331</v>
      </c>
      <c r="F27">
        <f t="shared" si="3"/>
        <v>0.75111773472429211</v>
      </c>
      <c r="G27">
        <v>0.78083069602771449</v>
      </c>
      <c r="H27">
        <f t="shared" si="0"/>
        <v>268.94434487312515</v>
      </c>
      <c r="I27">
        <f t="shared" si="1"/>
        <v>278.4298184142217</v>
      </c>
      <c r="J27">
        <f t="shared" si="2"/>
        <v>217.40654890724687</v>
      </c>
    </row>
    <row r="28" spans="1:10" x14ac:dyDescent="0.2">
      <c r="A28">
        <v>27</v>
      </c>
      <c r="C28" t="s">
        <v>3</v>
      </c>
      <c r="D28">
        <v>230</v>
      </c>
      <c r="E28">
        <f t="shared" si="4"/>
        <v>279.16666666666669</v>
      </c>
      <c r="F28">
        <f t="shared" si="3"/>
        <v>0.82388059701492533</v>
      </c>
      <c r="G28">
        <v>0.8307714673386315</v>
      </c>
      <c r="H28">
        <f t="shared" si="0"/>
        <v>276.85110652247459</v>
      </c>
      <c r="I28">
        <f t="shared" si="1"/>
        <v>280.37413794752382</v>
      </c>
      <c r="J28">
        <f t="shared" si="2"/>
        <v>232.92683398646824</v>
      </c>
    </row>
    <row r="29" spans="1:10" x14ac:dyDescent="0.2">
      <c r="A29">
        <v>28</v>
      </c>
      <c r="C29" t="s">
        <v>4</v>
      </c>
      <c r="D29">
        <v>280</v>
      </c>
      <c r="E29">
        <f>AVERAGE(D23:D34)</f>
        <v>281.66666666666669</v>
      </c>
      <c r="F29">
        <f t="shared" si="3"/>
        <v>0.99408284023668636</v>
      </c>
      <c r="G29">
        <v>0.97123496850544</v>
      </c>
      <c r="H29">
        <f t="shared" si="0"/>
        <v>288.29275003439261</v>
      </c>
      <c r="I29">
        <f t="shared" si="1"/>
        <v>282.31845748082594</v>
      </c>
      <c r="J29">
        <f t="shared" si="2"/>
        <v>274.19755815989436</v>
      </c>
    </row>
    <row r="30" spans="1:10" x14ac:dyDescent="0.2">
      <c r="A30">
        <v>29</v>
      </c>
      <c r="C30" t="s">
        <v>5</v>
      </c>
      <c r="D30">
        <v>290</v>
      </c>
      <c r="E30">
        <f>AVERAGE(D24:D35)</f>
        <v>283.75</v>
      </c>
      <c r="F30">
        <f t="shared" si="3"/>
        <v>1.0220264317180616</v>
      </c>
      <c r="G30">
        <v>1.0190004363063152</v>
      </c>
      <c r="H30">
        <f t="shared" si="0"/>
        <v>284.5926161240867</v>
      </c>
      <c r="I30">
        <f t="shared" si="1"/>
        <v>284.26277701412806</v>
      </c>
      <c r="J30">
        <f t="shared" si="2"/>
        <v>289.66389380304128</v>
      </c>
    </row>
    <row r="31" spans="1:10" x14ac:dyDescent="0.2">
      <c r="A31">
        <v>30</v>
      </c>
      <c r="C31" t="s">
        <v>6</v>
      </c>
      <c r="D31">
        <v>390</v>
      </c>
      <c r="E31">
        <f>AVERAGE(D25:D36)</f>
        <v>285.83333333333331</v>
      </c>
      <c r="F31">
        <f t="shared" si="3"/>
        <v>1.3644314868804666</v>
      </c>
      <c r="G31">
        <v>1.3097910207777925</v>
      </c>
      <c r="H31">
        <f t="shared" si="0"/>
        <v>297.75742375177265</v>
      </c>
      <c r="I31">
        <f t="shared" si="1"/>
        <v>286.20709654743018</v>
      </c>
      <c r="J31">
        <f t="shared" si="2"/>
        <v>374.8714851407068</v>
      </c>
    </row>
    <row r="32" spans="1:10" x14ac:dyDescent="0.2">
      <c r="A32">
        <v>31</v>
      </c>
      <c r="C32" t="s">
        <v>7</v>
      </c>
      <c r="D32">
        <v>420</v>
      </c>
      <c r="E32">
        <f>AVERAGE(D26:D37)</f>
        <v>288.33333333333331</v>
      </c>
      <c r="F32">
        <f t="shared" si="3"/>
        <v>1.4566473988439308</v>
      </c>
      <c r="G32">
        <v>1.4861031134608977</v>
      </c>
      <c r="H32">
        <f t="shared" si="0"/>
        <v>282.6183433677673</v>
      </c>
      <c r="I32">
        <f t="shared" si="1"/>
        <v>288.1514160807323</v>
      </c>
      <c r="J32">
        <f t="shared" si="2"/>
        <v>428.22271658574289</v>
      </c>
    </row>
    <row r="33" spans="1:10" x14ac:dyDescent="0.2">
      <c r="A33">
        <v>32</v>
      </c>
      <c r="C33" t="s">
        <v>8</v>
      </c>
      <c r="D33">
        <v>330</v>
      </c>
      <c r="G33">
        <v>1.2280752789831357</v>
      </c>
      <c r="H33">
        <f t="shared" si="0"/>
        <v>268.71316901130427</v>
      </c>
      <c r="I33">
        <f t="shared" si="1"/>
        <v>290.09573561403442</v>
      </c>
      <c r="J33">
        <f t="shared" si="2"/>
        <v>356.25940144602333</v>
      </c>
    </row>
    <row r="34" spans="1:10" x14ac:dyDescent="0.2">
      <c r="A34">
        <v>33</v>
      </c>
      <c r="C34" t="s">
        <v>9</v>
      </c>
      <c r="D34">
        <v>290</v>
      </c>
      <c r="G34">
        <v>0.9789675767918089</v>
      </c>
      <c r="H34">
        <f t="shared" si="0"/>
        <v>296.23044406676252</v>
      </c>
      <c r="I34">
        <f t="shared" si="1"/>
        <v>292.04005514733649</v>
      </c>
      <c r="J34">
        <f t="shared" si="2"/>
        <v>285.89774511373423</v>
      </c>
    </row>
    <row r="35" spans="1:10" x14ac:dyDescent="0.2">
      <c r="A35">
        <v>34</v>
      </c>
      <c r="C35" t="s">
        <v>10</v>
      </c>
      <c r="D35">
        <v>295</v>
      </c>
      <c r="G35">
        <v>0.99368394325070619</v>
      </c>
      <c r="H35">
        <f t="shared" si="0"/>
        <v>296.87507985179508</v>
      </c>
      <c r="I35">
        <f t="shared" si="1"/>
        <v>293.98437468063867</v>
      </c>
      <c r="J35">
        <f t="shared" si="2"/>
        <v>292.12755268675011</v>
      </c>
    </row>
    <row r="36" spans="1:10" x14ac:dyDescent="0.2">
      <c r="A36">
        <v>35</v>
      </c>
      <c r="C36" t="s">
        <v>11</v>
      </c>
      <c r="D36">
        <v>280</v>
      </c>
      <c r="G36">
        <v>0.93777430691136288</v>
      </c>
      <c r="H36">
        <f t="shared" si="0"/>
        <v>298.57930414216946</v>
      </c>
      <c r="I36">
        <f t="shared" si="1"/>
        <v>295.92869421394073</v>
      </c>
      <c r="J36">
        <f t="shared" si="2"/>
        <v>277.51432611166291</v>
      </c>
    </row>
    <row r="37" spans="1:10" x14ac:dyDescent="0.2">
      <c r="A37">
        <v>36</v>
      </c>
      <c r="C37" t="s">
        <v>12</v>
      </c>
      <c r="D37">
        <v>250</v>
      </c>
      <c r="G37">
        <v>0.79567088477893333</v>
      </c>
      <c r="H37">
        <f t="shared" si="0"/>
        <v>314.20026141770813</v>
      </c>
      <c r="I37">
        <f t="shared" si="1"/>
        <v>297.87301374724285</v>
      </c>
      <c r="J37">
        <f t="shared" si="2"/>
        <v>237.0088844000361</v>
      </c>
    </row>
    <row r="38" spans="1:10" x14ac:dyDescent="0.2">
      <c r="A38" s="6">
        <v>37</v>
      </c>
      <c r="B38" s="6">
        <v>4</v>
      </c>
      <c r="C38" s="6" t="s">
        <v>1</v>
      </c>
      <c r="D38" s="6"/>
      <c r="E38" s="6"/>
      <c r="F38" s="6"/>
      <c r="G38" s="6">
        <v>0.71142558937559597</v>
      </c>
      <c r="H38" s="6"/>
      <c r="I38" s="6">
        <f t="shared" si="1"/>
        <v>299.81733328054497</v>
      </c>
      <c r="J38" s="6">
        <f t="shared" si="2"/>
        <v>213.2977230341312</v>
      </c>
    </row>
    <row r="39" spans="1:10" x14ac:dyDescent="0.2">
      <c r="A39" s="6">
        <v>38</v>
      </c>
      <c r="B39" s="6"/>
      <c r="C39" s="6" t="s">
        <v>2</v>
      </c>
      <c r="D39" s="6"/>
      <c r="E39" s="6"/>
      <c r="F39" s="6"/>
      <c r="G39" s="6">
        <v>0.78083069602771449</v>
      </c>
      <c r="H39" s="6"/>
      <c r="I39" s="6">
        <f t="shared" si="1"/>
        <v>301.76165281384709</v>
      </c>
      <c r="J39" s="6">
        <f t="shared" si="2"/>
        <v>235.62476140110977</v>
      </c>
    </row>
    <row r="40" spans="1:10" x14ac:dyDescent="0.2">
      <c r="A40" s="6">
        <v>39</v>
      </c>
      <c r="B40" s="6"/>
      <c r="C40" s="6" t="s">
        <v>3</v>
      </c>
      <c r="D40" s="6"/>
      <c r="E40" s="6"/>
      <c r="F40" s="6"/>
      <c r="G40" s="6">
        <v>0.8307714673386315</v>
      </c>
      <c r="H40" s="6"/>
      <c r="I40" s="6">
        <f t="shared" si="1"/>
        <v>303.70597234714921</v>
      </c>
      <c r="J40" s="6">
        <f t="shared" si="2"/>
        <v>252.310256286347</v>
      </c>
    </row>
    <row r="41" spans="1:10" x14ac:dyDescent="0.2">
      <c r="A41" s="6">
        <v>40</v>
      </c>
      <c r="B41" s="6"/>
      <c r="C41" s="6" t="s">
        <v>4</v>
      </c>
      <c r="D41" s="6"/>
      <c r="E41" s="6"/>
      <c r="F41" s="6"/>
      <c r="G41" s="6">
        <v>0.97123496850544</v>
      </c>
      <c r="H41" s="6"/>
      <c r="I41" s="6">
        <f t="shared" si="1"/>
        <v>305.65029188045133</v>
      </c>
      <c r="J41" s="6">
        <f t="shared" si="2"/>
        <v>296.85825160818871</v>
      </c>
    </row>
    <row r="42" spans="1:10" x14ac:dyDescent="0.2">
      <c r="A42" s="6">
        <v>41</v>
      </c>
      <c r="B42" s="6"/>
      <c r="C42" s="6" t="s">
        <v>5</v>
      </c>
      <c r="D42" s="6"/>
      <c r="E42" s="6"/>
      <c r="F42" s="6"/>
      <c r="G42" s="6">
        <v>1.0190004363063152</v>
      </c>
      <c r="H42" s="6"/>
      <c r="I42" s="6">
        <f t="shared" si="1"/>
        <v>307.59461141375346</v>
      </c>
      <c r="J42" s="6">
        <f t="shared" si="2"/>
        <v>313.43904323608626</v>
      </c>
    </row>
    <row r="43" spans="1:10" x14ac:dyDescent="0.2">
      <c r="A43" s="6">
        <v>42</v>
      </c>
      <c r="B43" s="6"/>
      <c r="C43" s="6" t="s">
        <v>6</v>
      </c>
      <c r="D43" s="6"/>
      <c r="E43" s="6"/>
      <c r="F43" s="6"/>
      <c r="G43" s="6">
        <v>1.3097910207777925</v>
      </c>
      <c r="H43" s="6"/>
      <c r="I43" s="6">
        <f t="shared" si="1"/>
        <v>309.53893094705552</v>
      </c>
      <c r="J43" s="6">
        <f t="shared" si="2"/>
        <v>405.43131233561047</v>
      </c>
    </row>
    <row r="44" spans="1:10" x14ac:dyDescent="0.2">
      <c r="A44" s="6">
        <v>43</v>
      </c>
      <c r="B44" s="6"/>
      <c r="C44" s="6" t="s">
        <v>7</v>
      </c>
      <c r="D44" s="6"/>
      <c r="E44" s="6"/>
      <c r="F44" s="6"/>
      <c r="G44" s="6">
        <v>1.4861031134608977</v>
      </c>
      <c r="H44" s="6"/>
      <c r="I44" s="6">
        <f t="shared" ref="I44:I49" si="7">A44*K$2+L$2</f>
        <v>311.48325048035764</v>
      </c>
      <c r="J44" s="6">
        <f t="shared" si="2"/>
        <v>462.89622832978017</v>
      </c>
    </row>
    <row r="45" spans="1:10" x14ac:dyDescent="0.2">
      <c r="A45" s="6">
        <v>44</v>
      </c>
      <c r="B45" s="6"/>
      <c r="C45" s="6" t="s">
        <v>8</v>
      </c>
      <c r="D45" s="6"/>
      <c r="E45" s="6"/>
      <c r="F45" s="6"/>
      <c r="G45" s="6">
        <v>1.2280752789831357</v>
      </c>
      <c r="H45" s="6"/>
      <c r="I45" s="6">
        <f t="shared" si="7"/>
        <v>313.42757001365976</v>
      </c>
      <c r="J45" s="6">
        <f t="shared" si="2"/>
        <v>384.91265048553151</v>
      </c>
    </row>
    <row r="46" spans="1:10" x14ac:dyDescent="0.2">
      <c r="A46" s="6">
        <v>45</v>
      </c>
      <c r="B46" s="6"/>
      <c r="C46" s="6" t="s">
        <v>9</v>
      </c>
      <c r="D46" s="6"/>
      <c r="E46" s="6"/>
      <c r="F46" s="6"/>
      <c r="G46" s="6">
        <v>0.9789675767918089</v>
      </c>
      <c r="H46" s="6"/>
      <c r="I46" s="6">
        <f t="shared" si="7"/>
        <v>315.37188954696188</v>
      </c>
      <c r="J46" s="6">
        <f t="shared" si="2"/>
        <v>308.73885449804328</v>
      </c>
    </row>
    <row r="47" spans="1:10" x14ac:dyDescent="0.2">
      <c r="A47" s="6">
        <v>46</v>
      </c>
      <c r="B47" s="6"/>
      <c r="C47" s="6" t="s">
        <v>10</v>
      </c>
      <c r="D47" s="6"/>
      <c r="E47" s="6"/>
      <c r="F47" s="6"/>
      <c r="G47" s="6">
        <v>0.99368394325070619</v>
      </c>
      <c r="H47" s="6"/>
      <c r="I47" s="6">
        <f t="shared" si="7"/>
        <v>317.316209080264</v>
      </c>
      <c r="J47" s="6">
        <f t="shared" si="2"/>
        <v>315.3120218962423</v>
      </c>
    </row>
    <row r="48" spans="1:10" x14ac:dyDescent="0.2">
      <c r="A48" s="6">
        <v>47</v>
      </c>
      <c r="B48" s="6"/>
      <c r="C48" s="6" t="s">
        <v>11</v>
      </c>
      <c r="D48" s="6"/>
      <c r="E48" s="6"/>
      <c r="F48" s="6"/>
      <c r="G48" s="6">
        <v>0.93777430691136288</v>
      </c>
      <c r="H48" s="6"/>
      <c r="I48" s="6">
        <f t="shared" si="7"/>
        <v>319.26052861356612</v>
      </c>
      <c r="J48" s="6">
        <f t="shared" si="2"/>
        <v>299.39432094474233</v>
      </c>
    </row>
    <row r="49" spans="1:10" x14ac:dyDescent="0.2">
      <c r="A49" s="6">
        <v>48</v>
      </c>
      <c r="B49" s="6"/>
      <c r="C49" s="6" t="s">
        <v>12</v>
      </c>
      <c r="D49" s="6"/>
      <c r="E49" s="6"/>
      <c r="F49" s="6"/>
      <c r="G49" s="6">
        <v>0.79567088477893333</v>
      </c>
      <c r="H49" s="6"/>
      <c r="I49" s="6">
        <f t="shared" si="7"/>
        <v>321.20484814686824</v>
      </c>
      <c r="J49" s="6">
        <f t="shared" si="2"/>
        <v>255.57334572030157</v>
      </c>
    </row>
  </sheetData>
  <phoneticPr fontId="2" type="noConversion"/>
  <pageMargins left="0.7" right="0.7" top="0.75" bottom="0.75" header="0.3" footer="0.3"/>
  <ignoredErrors>
    <ignoredError sqref="E8 E9:E32" formulaRange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23FA9-06D5-514E-BC45-E0BDB22256EE}">
  <dimension ref="A1:I52"/>
  <sheetViews>
    <sheetView workbookViewId="0">
      <selection activeCell="F27" sqref="F27"/>
    </sheetView>
  </sheetViews>
  <sheetFormatPr baseColWidth="10" defaultRowHeight="16" x14ac:dyDescent="0.2"/>
  <cols>
    <col min="1" max="1" width="16.83203125" customWidth="1"/>
    <col min="2" max="2" width="23.6640625" customWidth="1"/>
    <col min="3" max="3" width="12.6640625" customWidth="1"/>
    <col min="6" max="6" width="14.83203125" customWidth="1"/>
  </cols>
  <sheetData>
    <row r="1" spans="1:9" x14ac:dyDescent="0.2">
      <c r="A1" t="s">
        <v>28</v>
      </c>
    </row>
    <row r="2" spans="1:9" ht="17" thickBot="1" x14ac:dyDescent="0.25"/>
    <row r="3" spans="1:9" x14ac:dyDescent="0.2">
      <c r="A3" s="5" t="s">
        <v>29</v>
      </c>
      <c r="B3" s="5"/>
    </row>
    <row r="4" spans="1:9" x14ac:dyDescent="0.2">
      <c r="A4" t="s">
        <v>30</v>
      </c>
      <c r="B4">
        <v>0.95142056735459812</v>
      </c>
    </row>
    <row r="5" spans="1:9" x14ac:dyDescent="0.2">
      <c r="A5" t="s">
        <v>31</v>
      </c>
      <c r="B5">
        <v>0.90520109598534548</v>
      </c>
    </row>
    <row r="6" spans="1:9" x14ac:dyDescent="0.2">
      <c r="A6" t="s">
        <v>32</v>
      </c>
      <c r="B6">
        <v>0.90155498429247416</v>
      </c>
    </row>
    <row r="7" spans="1:9" x14ac:dyDescent="0.2">
      <c r="A7" t="s">
        <v>33</v>
      </c>
      <c r="B7">
        <v>19.722143115330294</v>
      </c>
    </row>
    <row r="8" spans="1:9" ht="17" thickBot="1" x14ac:dyDescent="0.25">
      <c r="A8" s="3" t="s">
        <v>34</v>
      </c>
      <c r="B8" s="3">
        <v>28</v>
      </c>
    </row>
    <row r="10" spans="1:9" ht="17" thickBot="1" x14ac:dyDescent="0.25">
      <c r="A10" t="s">
        <v>35</v>
      </c>
    </row>
    <row r="11" spans="1:9" x14ac:dyDescent="0.2">
      <c r="A11" s="4"/>
      <c r="B11" s="4" t="s">
        <v>40</v>
      </c>
      <c r="C11" s="4" t="s">
        <v>41</v>
      </c>
      <c r="D11" s="4" t="s">
        <v>42</v>
      </c>
      <c r="E11" s="4" t="s">
        <v>43</v>
      </c>
      <c r="F11" s="4" t="s">
        <v>44</v>
      </c>
    </row>
    <row r="12" spans="1:9" x14ac:dyDescent="0.2">
      <c r="A12" t="s">
        <v>36</v>
      </c>
      <c r="B12">
        <v>1</v>
      </c>
      <c r="C12">
        <v>96565.793739283778</v>
      </c>
      <c r="D12">
        <v>96565.793739283778</v>
      </c>
      <c r="E12">
        <v>248.26477415794577</v>
      </c>
      <c r="F12">
        <v>8.104728526230547E-15</v>
      </c>
    </row>
    <row r="13" spans="1:9" x14ac:dyDescent="0.2">
      <c r="A13" t="s">
        <v>37</v>
      </c>
      <c r="B13">
        <v>26</v>
      </c>
      <c r="C13">
        <v>10113.036155600823</v>
      </c>
      <c r="D13">
        <v>388.96292906157009</v>
      </c>
    </row>
    <row r="14" spans="1:9" ht="17" thickBot="1" x14ac:dyDescent="0.25">
      <c r="A14" s="3" t="s">
        <v>38</v>
      </c>
      <c r="B14" s="3">
        <v>27</v>
      </c>
      <c r="C14" s="3">
        <v>106678.82989488461</v>
      </c>
      <c r="D14" s="3"/>
      <c r="E14" s="3"/>
      <c r="F14" s="3"/>
    </row>
    <row r="15" spans="1:9" ht="17" thickBot="1" x14ac:dyDescent="0.25"/>
    <row r="16" spans="1:9" x14ac:dyDescent="0.2">
      <c r="A16" s="4"/>
      <c r="B16" s="4" t="s">
        <v>45</v>
      </c>
      <c r="C16" s="4" t="s">
        <v>33</v>
      </c>
      <c r="D16" s="4" t="s">
        <v>46</v>
      </c>
      <c r="E16" s="4" t="s">
        <v>47</v>
      </c>
      <c r="F16" s="4" t="s">
        <v>48</v>
      </c>
      <c r="G16" s="4" t="s">
        <v>49</v>
      </c>
      <c r="H16" s="4" t="s">
        <v>50</v>
      </c>
      <c r="I16" s="4" t="s">
        <v>51</v>
      </c>
    </row>
    <row r="17" spans="1:9" x14ac:dyDescent="0.2">
      <c r="A17" t="s">
        <v>39</v>
      </c>
      <c r="B17">
        <v>43.941991565491023</v>
      </c>
      <c r="C17">
        <v>7.6585338085423365</v>
      </c>
      <c r="D17">
        <v>5.7376506605583018</v>
      </c>
      <c r="E17">
        <v>4.8564371596816527E-6</v>
      </c>
      <c r="F17">
        <v>28.19964986519053</v>
      </c>
      <c r="G17">
        <v>59.684333265791516</v>
      </c>
      <c r="H17">
        <v>28.19964986519053</v>
      </c>
      <c r="I17">
        <v>59.684333265791516</v>
      </c>
    </row>
    <row r="18" spans="1:9" ht="17" thickBot="1" x14ac:dyDescent="0.25">
      <c r="A18" s="3" t="s">
        <v>27</v>
      </c>
      <c r="B18" s="3">
        <v>7.2701334636851103</v>
      </c>
      <c r="C18" s="3">
        <v>0.46140769417261712</v>
      </c>
      <c r="D18" s="3">
        <v>15.756420093344353</v>
      </c>
      <c r="E18" s="3">
        <v>8.104728526230547E-15</v>
      </c>
      <c r="F18" s="3">
        <v>6.321696365096968</v>
      </c>
      <c r="G18" s="3">
        <v>8.2185705622732517</v>
      </c>
      <c r="H18" s="3">
        <v>6.321696365096968</v>
      </c>
      <c r="I18" s="3">
        <v>8.2185705622732517</v>
      </c>
    </row>
    <row r="22" spans="1:9" x14ac:dyDescent="0.2">
      <c r="A22" t="s">
        <v>52</v>
      </c>
    </row>
    <row r="23" spans="1:9" ht="17" thickBot="1" x14ac:dyDescent="0.25"/>
    <row r="24" spans="1:9" x14ac:dyDescent="0.2">
      <c r="A24" s="4" t="s">
        <v>53</v>
      </c>
      <c r="B24" s="4" t="s">
        <v>54</v>
      </c>
      <c r="C24" s="4" t="s">
        <v>55</v>
      </c>
    </row>
    <row r="25" spans="1:9" x14ac:dyDescent="0.2">
      <c r="A25">
        <v>1</v>
      </c>
      <c r="B25">
        <v>51.212125029176136</v>
      </c>
      <c r="C25">
        <v>20.681134117538292</v>
      </c>
    </row>
    <row r="26" spans="1:9" x14ac:dyDescent="0.2">
      <c r="A26">
        <v>2</v>
      </c>
      <c r="B26">
        <v>58.482258492861241</v>
      </c>
      <c r="C26">
        <v>2.6899815274449281</v>
      </c>
    </row>
    <row r="27" spans="1:9" x14ac:dyDescent="0.2">
      <c r="A27">
        <v>3</v>
      </c>
      <c r="B27">
        <v>65.752391956546347</v>
      </c>
      <c r="C27">
        <v>-20.975988321483726</v>
      </c>
    </row>
    <row r="28" spans="1:9" x14ac:dyDescent="0.2">
      <c r="A28">
        <v>4</v>
      </c>
      <c r="B28">
        <v>73.02252542023146</v>
      </c>
      <c r="C28">
        <v>9.6442102997719985</v>
      </c>
    </row>
    <row r="29" spans="1:9" x14ac:dyDescent="0.2">
      <c r="A29">
        <v>5</v>
      </c>
      <c r="B29">
        <v>80.292658883916573</v>
      </c>
      <c r="C29">
        <v>8.3199628550570282</v>
      </c>
    </row>
    <row r="30" spans="1:9" x14ac:dyDescent="0.2">
      <c r="A30">
        <v>6</v>
      </c>
      <c r="B30">
        <v>87.562792347601686</v>
      </c>
      <c r="C30">
        <v>-6.6575716755838528</v>
      </c>
    </row>
    <row r="31" spans="1:9" x14ac:dyDescent="0.2">
      <c r="A31">
        <v>7</v>
      </c>
      <c r="B31">
        <v>94.832925811286799</v>
      </c>
      <c r="C31">
        <v>-18.073376722608018</v>
      </c>
    </row>
    <row r="32" spans="1:9" x14ac:dyDescent="0.2">
      <c r="A32">
        <v>8</v>
      </c>
      <c r="B32">
        <v>102.10305927497191</v>
      </c>
      <c r="C32">
        <v>-1.8476563804996431</v>
      </c>
    </row>
    <row r="33" spans="1:3" x14ac:dyDescent="0.2">
      <c r="A33">
        <v>9</v>
      </c>
      <c r="B33">
        <v>109.37319273865701</v>
      </c>
      <c r="C33">
        <v>7.6623454071571757</v>
      </c>
    </row>
    <row r="34" spans="1:3" x14ac:dyDescent="0.2">
      <c r="A34">
        <v>10</v>
      </c>
      <c r="B34">
        <v>116.64332620234212</v>
      </c>
      <c r="C34">
        <v>1.7545577079278871</v>
      </c>
    </row>
    <row r="35" spans="1:3" x14ac:dyDescent="0.2">
      <c r="A35">
        <v>11</v>
      </c>
      <c r="B35">
        <v>123.91345966602724</v>
      </c>
      <c r="C35">
        <v>7.21743669379903</v>
      </c>
    </row>
    <row r="36" spans="1:3" x14ac:dyDescent="0.2">
      <c r="A36">
        <v>12</v>
      </c>
      <c r="B36">
        <v>131.18359312971234</v>
      </c>
      <c r="C36">
        <v>4.2491441136975823</v>
      </c>
    </row>
    <row r="37" spans="1:3" x14ac:dyDescent="0.2">
      <c r="A37">
        <v>13</v>
      </c>
      <c r="B37">
        <v>138.45372659339745</v>
      </c>
      <c r="C37">
        <v>-3.0268895960981865</v>
      </c>
    </row>
    <row r="38" spans="1:3" x14ac:dyDescent="0.2">
      <c r="A38">
        <v>14</v>
      </c>
      <c r="B38">
        <v>145.72386005708256</v>
      </c>
      <c r="C38">
        <v>-7.5929954951008938</v>
      </c>
    </row>
    <row r="39" spans="1:3" x14ac:dyDescent="0.2">
      <c r="A39">
        <v>15</v>
      </c>
      <c r="B39">
        <v>152.99399352076767</v>
      </c>
      <c r="C39">
        <v>6.9217337473131124</v>
      </c>
    </row>
    <row r="40" spans="1:3" x14ac:dyDescent="0.2">
      <c r="A40">
        <v>16</v>
      </c>
      <c r="B40">
        <v>160.26412698445279</v>
      </c>
      <c r="C40">
        <v>-7.2427225665740593</v>
      </c>
    </row>
    <row r="41" spans="1:3" x14ac:dyDescent="0.2">
      <c r="A41">
        <v>17</v>
      </c>
      <c r="B41">
        <v>167.5342604481379</v>
      </c>
      <c r="C41">
        <v>-10.372252080901717</v>
      </c>
    </row>
    <row r="42" spans="1:3" x14ac:dyDescent="0.2">
      <c r="A42">
        <v>18</v>
      </c>
      <c r="B42">
        <v>174.80439391182301</v>
      </c>
      <c r="C42">
        <v>-5.1007603071026608</v>
      </c>
    </row>
    <row r="43" spans="1:3" x14ac:dyDescent="0.2">
      <c r="A43">
        <v>19</v>
      </c>
      <c r="B43">
        <v>182.07452737550813</v>
      </c>
      <c r="C43">
        <v>22.61760352763531</v>
      </c>
    </row>
    <row r="44" spans="1:3" x14ac:dyDescent="0.2">
      <c r="A44">
        <v>20</v>
      </c>
      <c r="B44">
        <v>189.34466083919324</v>
      </c>
      <c r="C44">
        <v>-15.216855811951916</v>
      </c>
    </row>
    <row r="45" spans="1:3" x14ac:dyDescent="0.2">
      <c r="A45">
        <v>21</v>
      </c>
      <c r="B45">
        <v>196.61479430287835</v>
      </c>
      <c r="C45">
        <v>-22.733423343383009</v>
      </c>
    </row>
    <row r="46" spans="1:3" x14ac:dyDescent="0.2">
      <c r="A46">
        <v>22</v>
      </c>
      <c r="B46">
        <v>203.88492776656346</v>
      </c>
      <c r="C46">
        <v>-4.5818231842756347</v>
      </c>
    </row>
    <row r="47" spans="1:3" x14ac:dyDescent="0.2">
      <c r="A47">
        <v>23</v>
      </c>
      <c r="B47">
        <v>211.15506123024858</v>
      </c>
      <c r="C47">
        <v>35.115158762595854</v>
      </c>
    </row>
    <row r="48" spans="1:3" x14ac:dyDescent="0.2">
      <c r="A48">
        <v>24</v>
      </c>
      <c r="B48">
        <v>218.42519469393369</v>
      </c>
      <c r="C48">
        <v>-24.949855774776665</v>
      </c>
    </row>
    <row r="49" spans="1:3" x14ac:dyDescent="0.2">
      <c r="A49">
        <v>25</v>
      </c>
      <c r="B49">
        <v>225.6953281576188</v>
      </c>
      <c r="C49">
        <v>-20.047168272831016</v>
      </c>
    </row>
    <row r="50" spans="1:3" x14ac:dyDescent="0.2">
      <c r="A50">
        <v>26</v>
      </c>
      <c r="B50">
        <v>232.96546162130392</v>
      </c>
      <c r="C50">
        <v>3.8303061992361052</v>
      </c>
    </row>
    <row r="51" spans="1:3" x14ac:dyDescent="0.2">
      <c r="A51">
        <v>27</v>
      </c>
      <c r="B51">
        <v>240.23559508498897</v>
      </c>
      <c r="C51">
        <v>63.604286724364556</v>
      </c>
    </row>
    <row r="52" spans="1:3" ht="17" thickBot="1" x14ac:dyDescent="0.25">
      <c r="A52" s="3">
        <v>28</v>
      </c>
      <c r="B52" s="3">
        <v>247.50572854867409</v>
      </c>
      <c r="C52" s="3">
        <v>-25.888522150366953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58435-471D-2646-B846-FD831C7A9779}">
  <dimension ref="A1:I60"/>
  <sheetViews>
    <sheetView workbookViewId="0">
      <selection activeCell="G33" sqref="G33"/>
    </sheetView>
  </sheetViews>
  <sheetFormatPr baseColWidth="10" defaultRowHeight="16" x14ac:dyDescent="0.2"/>
  <cols>
    <col min="1" max="1" width="16.33203125" customWidth="1"/>
    <col min="2" max="2" width="21.1640625" customWidth="1"/>
    <col min="3" max="3" width="12.6640625" customWidth="1"/>
  </cols>
  <sheetData>
    <row r="1" spans="1:9" x14ac:dyDescent="0.2">
      <c r="A1" t="s">
        <v>28</v>
      </c>
    </row>
    <row r="2" spans="1:9" ht="17" thickBot="1" x14ac:dyDescent="0.25"/>
    <row r="3" spans="1:9" x14ac:dyDescent="0.2">
      <c r="A3" s="5" t="s">
        <v>29</v>
      </c>
      <c r="B3" s="5"/>
    </row>
    <row r="4" spans="1:9" x14ac:dyDescent="0.2">
      <c r="A4" t="s">
        <v>30</v>
      </c>
      <c r="B4">
        <v>0.9449335954506779</v>
      </c>
    </row>
    <row r="5" spans="1:9" x14ac:dyDescent="0.2">
      <c r="A5" t="s">
        <v>31</v>
      </c>
      <c r="B5">
        <v>0.89289949981134531</v>
      </c>
    </row>
    <row r="6" spans="1:9" x14ac:dyDescent="0.2">
      <c r="A6" t="s">
        <v>32</v>
      </c>
      <c r="B6">
        <v>0.88974948509991425</v>
      </c>
    </row>
    <row r="7" spans="1:9" x14ac:dyDescent="0.2">
      <c r="A7" t="s">
        <v>33</v>
      </c>
      <c r="B7">
        <v>7.1981045779791017</v>
      </c>
    </row>
    <row r="8" spans="1:9" ht="17" thickBot="1" x14ac:dyDescent="0.25">
      <c r="A8" s="3" t="s">
        <v>34</v>
      </c>
      <c r="B8" s="3">
        <v>36</v>
      </c>
    </row>
    <row r="10" spans="1:9" ht="17" thickBot="1" x14ac:dyDescent="0.25">
      <c r="A10" t="s">
        <v>35</v>
      </c>
    </row>
    <row r="11" spans="1:9" x14ac:dyDescent="0.2">
      <c r="A11" s="4"/>
      <c r="B11" s="4" t="s">
        <v>40</v>
      </c>
      <c r="C11" s="4" t="s">
        <v>41</v>
      </c>
      <c r="D11" s="4" t="s">
        <v>42</v>
      </c>
      <c r="E11" s="4" t="s">
        <v>43</v>
      </c>
      <c r="F11" s="4" t="s">
        <v>44</v>
      </c>
    </row>
    <row r="12" spans="1:9" x14ac:dyDescent="0.2">
      <c r="A12" t="s">
        <v>36</v>
      </c>
      <c r="B12">
        <v>1</v>
      </c>
      <c r="C12">
        <v>14686.770268848873</v>
      </c>
      <c r="D12">
        <v>14686.770268848873</v>
      </c>
      <c r="E12">
        <v>283.45883483373018</v>
      </c>
      <c r="F12">
        <v>4.5986042754050723E-18</v>
      </c>
    </row>
    <row r="13" spans="1:9" x14ac:dyDescent="0.2">
      <c r="A13" t="s">
        <v>37</v>
      </c>
      <c r="B13">
        <v>34</v>
      </c>
      <c r="C13">
        <v>1761.632123527806</v>
      </c>
      <c r="D13">
        <v>51.812709515523707</v>
      </c>
    </row>
    <row r="14" spans="1:9" ht="17" thickBot="1" x14ac:dyDescent="0.25">
      <c r="A14" s="3" t="s">
        <v>38</v>
      </c>
      <c r="B14" s="3">
        <v>35</v>
      </c>
      <c r="C14" s="3">
        <v>16448.40239237668</v>
      </c>
      <c r="D14" s="3"/>
      <c r="E14" s="3"/>
      <c r="F14" s="3"/>
    </row>
    <row r="15" spans="1:9" ht="17" thickBot="1" x14ac:dyDescent="0.25"/>
    <row r="16" spans="1:9" x14ac:dyDescent="0.2">
      <c r="A16" s="4"/>
      <c r="B16" s="4" t="s">
        <v>45</v>
      </c>
      <c r="C16" s="4" t="s">
        <v>33</v>
      </c>
      <c r="D16" s="4" t="s">
        <v>46</v>
      </c>
      <c r="E16" s="4" t="s">
        <v>47</v>
      </c>
      <c r="F16" s="4" t="s">
        <v>48</v>
      </c>
      <c r="G16" s="4" t="s">
        <v>49</v>
      </c>
      <c r="H16" s="4" t="s">
        <v>50</v>
      </c>
      <c r="I16" s="4" t="s">
        <v>51</v>
      </c>
    </row>
    <row r="17" spans="1:9" x14ac:dyDescent="0.2">
      <c r="A17" t="s">
        <v>39</v>
      </c>
      <c r="B17">
        <v>227.87751054836679</v>
      </c>
      <c r="C17">
        <v>2.4502438474805399</v>
      </c>
      <c r="D17">
        <v>93.001972347642678</v>
      </c>
      <c r="E17">
        <v>1.6265045075316346E-42</v>
      </c>
      <c r="F17">
        <v>222.89801594283495</v>
      </c>
      <c r="G17">
        <v>232.85700515389863</v>
      </c>
      <c r="H17">
        <v>222.89801594283495</v>
      </c>
      <c r="I17">
        <v>232.85700515389863</v>
      </c>
    </row>
    <row r="18" spans="1:9" ht="17" thickBot="1" x14ac:dyDescent="0.25">
      <c r="A18" s="3" t="s">
        <v>27</v>
      </c>
      <c r="B18" s="3">
        <v>1.9443195333021133</v>
      </c>
      <c r="C18" s="3">
        <v>0.11548421868766559</v>
      </c>
      <c r="D18" s="3">
        <v>16.836235767942018</v>
      </c>
      <c r="E18" s="3">
        <v>4.5986042754050723E-18</v>
      </c>
      <c r="F18" s="3">
        <v>1.7096273639612583</v>
      </c>
      <c r="G18" s="3">
        <v>2.1790117026429683</v>
      </c>
      <c r="H18" s="3">
        <v>1.7096273639612583</v>
      </c>
      <c r="I18" s="3">
        <v>2.1790117026429683</v>
      </c>
    </row>
    <row r="22" spans="1:9" x14ac:dyDescent="0.2">
      <c r="A22" t="s">
        <v>52</v>
      </c>
    </row>
    <row r="23" spans="1:9" ht="17" thickBot="1" x14ac:dyDescent="0.25"/>
    <row r="24" spans="1:9" x14ac:dyDescent="0.2">
      <c r="A24" s="4" t="s">
        <v>53</v>
      </c>
      <c r="B24" s="4" t="s">
        <v>54</v>
      </c>
      <c r="C24" s="4" t="s">
        <v>55</v>
      </c>
    </row>
    <row r="25" spans="1:9" x14ac:dyDescent="0.2">
      <c r="A25">
        <v>1</v>
      </c>
      <c r="B25">
        <v>229.82183008166891</v>
      </c>
      <c r="C25">
        <v>9.134994832663466</v>
      </c>
    </row>
    <row r="26" spans="1:9" x14ac:dyDescent="0.2">
      <c r="A26">
        <v>2</v>
      </c>
      <c r="B26">
        <v>231.766149614971</v>
      </c>
      <c r="C26">
        <v>-1.2424254380065918</v>
      </c>
    </row>
    <row r="27" spans="1:9" x14ac:dyDescent="0.2">
      <c r="A27">
        <v>3</v>
      </c>
      <c r="B27">
        <v>233.71046914827312</v>
      </c>
      <c r="C27">
        <v>13.048125795671638</v>
      </c>
    </row>
    <row r="28" spans="1:9" x14ac:dyDescent="0.2">
      <c r="A28">
        <v>4</v>
      </c>
      <c r="B28">
        <v>235.65478868157524</v>
      </c>
      <c r="C28">
        <v>1.1571131323901227</v>
      </c>
    </row>
    <row r="29" spans="1:9" x14ac:dyDescent="0.2">
      <c r="A29">
        <v>5</v>
      </c>
      <c r="B29">
        <v>237.59910821487736</v>
      </c>
      <c r="C29">
        <v>-2.0741845259780405</v>
      </c>
    </row>
    <row r="30" spans="1:9" x14ac:dyDescent="0.2">
      <c r="A30">
        <v>6</v>
      </c>
      <c r="B30">
        <v>239.54342774817945</v>
      </c>
      <c r="C30">
        <v>0.9529529744061449</v>
      </c>
    </row>
    <row r="31" spans="1:9" x14ac:dyDescent="0.2">
      <c r="A31">
        <v>7</v>
      </c>
      <c r="B31">
        <v>241.48774728148157</v>
      </c>
      <c r="C31">
        <v>0.7565470337475233</v>
      </c>
    </row>
    <row r="32" spans="1:9" x14ac:dyDescent="0.2">
      <c r="A32">
        <v>8</v>
      </c>
      <c r="B32">
        <v>243.4320668147837</v>
      </c>
      <c r="C32">
        <v>-7.2901910169708515</v>
      </c>
    </row>
    <row r="33" spans="1:3" x14ac:dyDescent="0.2">
      <c r="A33">
        <v>9</v>
      </c>
      <c r="B33">
        <v>245.37638634808582</v>
      </c>
      <c r="C33">
        <v>-0.22015677559269875</v>
      </c>
    </row>
    <row r="34" spans="1:3" x14ac:dyDescent="0.2">
      <c r="A34">
        <v>10</v>
      </c>
      <c r="B34">
        <v>247.32070588138791</v>
      </c>
      <c r="C34">
        <v>-5.7952171884020913</v>
      </c>
    </row>
    <row r="35" spans="1:3" x14ac:dyDescent="0.2">
      <c r="A35">
        <v>11</v>
      </c>
      <c r="B35">
        <v>249.26502541469003</v>
      </c>
      <c r="C35">
        <v>-4.0034541550508038</v>
      </c>
    </row>
    <row r="36" spans="1:3" x14ac:dyDescent="0.2">
      <c r="A36">
        <v>12</v>
      </c>
      <c r="B36">
        <v>251.20934494799215</v>
      </c>
      <c r="C36">
        <v>-6.1331410421797727</v>
      </c>
    </row>
    <row r="37" spans="1:3" x14ac:dyDescent="0.2">
      <c r="A37">
        <v>13</v>
      </c>
      <c r="B37">
        <v>253.15366448129424</v>
      </c>
      <c r="C37">
        <v>-0.14055574847174057</v>
      </c>
    </row>
    <row r="38" spans="1:3" x14ac:dyDescent="0.2">
      <c r="A38">
        <v>14</v>
      </c>
      <c r="B38">
        <v>255.09798401459636</v>
      </c>
      <c r="C38">
        <v>7.4429240758353217</v>
      </c>
    </row>
    <row r="39" spans="1:3" x14ac:dyDescent="0.2">
      <c r="A39">
        <v>15</v>
      </c>
      <c r="B39">
        <v>257.04230354789848</v>
      </c>
      <c r="C39">
        <v>1.753296027458191</v>
      </c>
    </row>
    <row r="40" spans="1:3" x14ac:dyDescent="0.2">
      <c r="A40">
        <v>16</v>
      </c>
      <c r="B40">
        <v>258.98662308120061</v>
      </c>
      <c r="C40">
        <v>-6.7304668011070703</v>
      </c>
    </row>
    <row r="41" spans="1:3" x14ac:dyDescent="0.2">
      <c r="A41">
        <v>17</v>
      </c>
      <c r="B41">
        <v>260.93094261450273</v>
      </c>
      <c r="C41">
        <v>-0.87217270800971392</v>
      </c>
    </row>
    <row r="42" spans="1:3" x14ac:dyDescent="0.2">
      <c r="A42">
        <v>18</v>
      </c>
      <c r="B42">
        <v>262.87526214780485</v>
      </c>
      <c r="C42">
        <v>-10.926672819381849</v>
      </c>
    </row>
    <row r="43" spans="1:3" x14ac:dyDescent="0.2">
      <c r="A43">
        <v>19</v>
      </c>
      <c r="B43">
        <v>264.81958168110691</v>
      </c>
      <c r="C43">
        <v>4.3407453358142902</v>
      </c>
    </row>
    <row r="44" spans="1:3" x14ac:dyDescent="0.2">
      <c r="A44">
        <v>20</v>
      </c>
      <c r="B44">
        <v>266.76390121440903</v>
      </c>
      <c r="C44">
        <v>6.0206794485816886</v>
      </c>
    </row>
    <row r="45" spans="1:3" x14ac:dyDescent="0.2">
      <c r="A45">
        <v>21</v>
      </c>
      <c r="B45">
        <v>268.70822074771115</v>
      </c>
      <c r="C45">
        <v>-3.1223053775102585</v>
      </c>
    </row>
    <row r="46" spans="1:3" x14ac:dyDescent="0.2">
      <c r="A46">
        <v>22</v>
      </c>
      <c r="B46">
        <v>270.65254028101327</v>
      </c>
      <c r="C46">
        <v>1.0636344985957749</v>
      </c>
    </row>
    <row r="47" spans="1:3" x14ac:dyDescent="0.2">
      <c r="A47">
        <v>23</v>
      </c>
      <c r="B47">
        <v>272.59685981431539</v>
      </c>
      <c r="C47">
        <v>-0.67642211341103575</v>
      </c>
    </row>
    <row r="48" spans="1:3" x14ac:dyDescent="0.2">
      <c r="A48">
        <v>24</v>
      </c>
      <c r="B48">
        <v>274.54117934761751</v>
      </c>
      <c r="C48">
        <v>1.9550506999656818</v>
      </c>
    </row>
    <row r="49" spans="1:3" x14ac:dyDescent="0.2">
      <c r="A49">
        <v>25</v>
      </c>
      <c r="B49">
        <v>276.48549888091964</v>
      </c>
      <c r="C49">
        <v>-2.387964420361925</v>
      </c>
    </row>
    <row r="50" spans="1:3" x14ac:dyDescent="0.2">
      <c r="A50">
        <v>26</v>
      </c>
      <c r="B50">
        <v>278.4298184142217</v>
      </c>
      <c r="C50">
        <v>-9.4854735410965532</v>
      </c>
    </row>
    <row r="51" spans="1:3" x14ac:dyDescent="0.2">
      <c r="A51">
        <v>27</v>
      </c>
      <c r="B51">
        <v>280.37413794752382</v>
      </c>
      <c r="C51">
        <v>-3.5230314250492256</v>
      </c>
    </row>
    <row r="52" spans="1:3" x14ac:dyDescent="0.2">
      <c r="A52">
        <v>28</v>
      </c>
      <c r="B52">
        <v>282.31845748082594</v>
      </c>
      <c r="C52">
        <v>5.97429255356667</v>
      </c>
    </row>
    <row r="53" spans="1:3" x14ac:dyDescent="0.2">
      <c r="A53">
        <v>29</v>
      </c>
      <c r="B53">
        <v>284.26277701412806</v>
      </c>
      <c r="C53">
        <v>0.32983910995864107</v>
      </c>
    </row>
    <row r="54" spans="1:3" x14ac:dyDescent="0.2">
      <c r="A54">
        <v>30</v>
      </c>
      <c r="B54">
        <v>286.20709654743018</v>
      </c>
      <c r="C54">
        <v>11.550327204342466</v>
      </c>
    </row>
    <row r="55" spans="1:3" x14ac:dyDescent="0.2">
      <c r="A55">
        <v>31</v>
      </c>
      <c r="B55">
        <v>288.1514160807323</v>
      </c>
      <c r="C55">
        <v>-5.5330727129650086</v>
      </c>
    </row>
    <row r="56" spans="1:3" x14ac:dyDescent="0.2">
      <c r="A56">
        <v>32</v>
      </c>
      <c r="B56">
        <v>290.09573561403442</v>
      </c>
      <c r="C56">
        <v>-21.382566602730151</v>
      </c>
    </row>
    <row r="57" spans="1:3" x14ac:dyDescent="0.2">
      <c r="A57">
        <v>33</v>
      </c>
      <c r="B57">
        <v>292.04005514733649</v>
      </c>
      <c r="C57">
        <v>4.1903889194260273</v>
      </c>
    </row>
    <row r="58" spans="1:3" x14ac:dyDescent="0.2">
      <c r="A58">
        <v>34</v>
      </c>
      <c r="B58">
        <v>293.98437468063867</v>
      </c>
      <c r="C58">
        <v>2.8907051711564122</v>
      </c>
    </row>
    <row r="59" spans="1:3" x14ac:dyDescent="0.2">
      <c r="A59">
        <v>35</v>
      </c>
      <c r="B59">
        <v>295.92869421394073</v>
      </c>
      <c r="C59">
        <v>2.6506099282287323</v>
      </c>
    </row>
    <row r="60" spans="1:3" ht="17" thickBot="1" x14ac:dyDescent="0.25">
      <c r="A60" s="3">
        <v>36</v>
      </c>
      <c r="B60" s="3">
        <v>297.87301374724285</v>
      </c>
      <c r="C60" s="3">
        <v>16.327247670465283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Ski Lodge Visitors</vt:lpstr>
      <vt:lpstr>Lawn expenses</vt:lpstr>
      <vt:lpstr>Ski Regression</vt:lpstr>
      <vt:lpstr>Lawn Regression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Dipika Jothinathan</dc:creator>
  <cp:lastModifiedBy>Dipika Jothinathan</cp:lastModifiedBy>
  <dcterms:created xsi:type="dcterms:W3CDTF">2023-12-17T01:44:22Z</dcterms:created>
  <dcterms:modified xsi:type="dcterms:W3CDTF">2023-12-18T16:51:43Z</dcterms:modified>
</cp:coreProperties>
</file>